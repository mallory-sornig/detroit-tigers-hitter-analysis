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https://waynestateprod-my.sharepoint.com/personal/ht3229_wayne_edu/Documents/"/>
    </mc:Choice>
  </mc:AlternateContent>
  <xr:revisionPtr revIDLastSave="552" documentId="11_E60897F41BE170836B02CE998F75CCDC64E183C8" xr6:coauthVersionLast="47" xr6:coauthVersionMax="47" xr10:uidLastSave="{F74DC64D-2A1A-4EB2-92F2-B1C8830B03BB}"/>
  <bookViews>
    <workbookView xWindow="-110" yWindow="-110" windowWidth="19420" windowHeight="11500" firstSheet="1" activeTab="2" xr2:uid="{00000000-000D-0000-FFFF-FFFF00000000}"/>
  </bookViews>
  <sheets>
    <sheet name="Raw Data" sheetId="1" r:id="rId1"/>
    <sheet name="Analysis" sheetId="2" r:id="rId2"/>
    <sheet name="Dashboard" sheetId="4" r:id="rId3"/>
    <sheet name="Note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5" i="2" l="1"/>
  <c r="O9" i="2"/>
  <c r="O15" i="2"/>
  <c r="O14" i="2"/>
  <c r="O7" i="2"/>
  <c r="O2" i="2"/>
  <c r="O12" i="2"/>
  <c r="O13" i="2"/>
  <c r="O6" i="2"/>
  <c r="O8" i="2"/>
  <c r="O11" i="2"/>
  <c r="O4" i="2"/>
  <c r="O10" i="2"/>
  <c r="O3" i="2"/>
  <c r="O16" i="2"/>
  <c r="N5" i="2"/>
  <c r="N9" i="2"/>
  <c r="N15" i="2"/>
  <c r="N14" i="2"/>
  <c r="N7" i="2"/>
  <c r="N2" i="2"/>
  <c r="N12" i="2"/>
  <c r="N13" i="2"/>
  <c r="N6" i="2"/>
  <c r="N8" i="2"/>
  <c r="N11" i="2"/>
  <c r="N4" i="2"/>
  <c r="N10" i="2"/>
  <c r="N3" i="2"/>
  <c r="N16" i="2"/>
  <c r="M5" i="2"/>
  <c r="M9" i="2"/>
  <c r="M15" i="2"/>
  <c r="M14" i="2"/>
  <c r="M7" i="2"/>
  <c r="M2" i="2"/>
  <c r="M12" i="2"/>
  <c r="M13" i="2"/>
  <c r="M6" i="2"/>
  <c r="M8" i="2"/>
  <c r="M11" i="2"/>
  <c r="M4" i="2"/>
  <c r="M10" i="2"/>
  <c r="M3" i="2"/>
  <c r="M16" i="2"/>
  <c r="L5" i="2"/>
  <c r="P5" i="2" s="1"/>
  <c r="L9" i="2"/>
  <c r="P9" i="2" s="1"/>
  <c r="L15" i="2"/>
  <c r="P15" i="2" s="1"/>
  <c r="L14" i="2"/>
  <c r="P14" i="2" s="1"/>
  <c r="L7" i="2"/>
  <c r="P7" i="2" s="1"/>
  <c r="L2" i="2"/>
  <c r="P2" i="2" s="1"/>
  <c r="L12" i="2"/>
  <c r="P12" i="2" s="1"/>
  <c r="L13" i="2"/>
  <c r="P13" i="2" s="1"/>
  <c r="L6" i="2"/>
  <c r="P6" i="2" s="1"/>
  <c r="L8" i="2"/>
  <c r="P8" i="2" s="1"/>
  <c r="L11" i="2"/>
  <c r="P11" i="2" s="1"/>
  <c r="L4" i="2"/>
  <c r="P4" i="2" s="1"/>
  <c r="L10" i="2"/>
  <c r="P10" i="2" s="1"/>
  <c r="L3" i="2"/>
  <c r="P3" i="2" s="1"/>
  <c r="L16" i="2"/>
  <c r="P16" i="2" s="1"/>
  <c r="G4" i="2"/>
  <c r="G12" i="2"/>
  <c r="G2" i="2"/>
  <c r="G15" i="2"/>
  <c r="G14" i="2"/>
  <c r="G16" i="2"/>
  <c r="G9" i="2"/>
  <c r="G6" i="2"/>
  <c r="G13" i="2"/>
  <c r="G7" i="2"/>
  <c r="G10" i="2"/>
  <c r="G5" i="2"/>
  <c r="G8" i="2"/>
  <c r="G11" i="2"/>
  <c r="G3" i="2"/>
  <c r="T2" i="1"/>
  <c r="T3" i="1"/>
  <c r="T4" i="1"/>
  <c r="T5" i="1"/>
  <c r="T6" i="1"/>
  <c r="T7" i="1"/>
  <c r="T8" i="1"/>
  <c r="T9" i="1"/>
  <c r="T10" i="1"/>
  <c r="T11" i="1"/>
  <c r="T12" i="1"/>
  <c r="T13" i="1"/>
  <c r="T14" i="1"/>
  <c r="T15" i="1"/>
  <c r="T16" i="1"/>
  <c r="T17" i="1"/>
  <c r="T18" i="1"/>
  <c r="T19" i="1"/>
  <c r="T20" i="1"/>
  <c r="T21" i="1"/>
  <c r="S6" i="1"/>
  <c r="S10" i="1"/>
  <c r="S16" i="1"/>
  <c r="S18" i="1"/>
  <c r="S5" i="1"/>
  <c r="S21" i="1"/>
  <c r="S20" i="1"/>
  <c r="S3" i="1"/>
  <c r="S11" i="1"/>
  <c r="S8" i="1"/>
  <c r="S4" i="1"/>
  <c r="S15" i="1"/>
  <c r="S2" i="1"/>
  <c r="S13" i="1"/>
  <c r="S14" i="1"/>
  <c r="S17" i="1"/>
  <c r="S19" i="1"/>
  <c r="S9" i="1"/>
  <c r="S7" i="1"/>
  <c r="S12" i="1"/>
  <c r="R6" i="1"/>
  <c r="R10" i="1"/>
  <c r="R16" i="1"/>
  <c r="R18" i="1"/>
  <c r="R5" i="1"/>
  <c r="R21" i="1"/>
  <c r="R20" i="1"/>
  <c r="R3" i="1"/>
  <c r="R11" i="1"/>
  <c r="R8" i="1"/>
  <c r="R4" i="1"/>
  <c r="R15" i="1"/>
  <c r="R2" i="1"/>
  <c r="R13" i="1"/>
  <c r="R14" i="1"/>
  <c r="R17" i="1"/>
  <c r="R19" i="1"/>
  <c r="R9" i="1"/>
  <c r="R7" i="1"/>
  <c r="R12" i="1"/>
  <c r="Q7" i="2" l="1"/>
  <c r="Q16" i="2"/>
  <c r="Q9" i="2"/>
  <c r="Q14" i="2"/>
  <c r="Q15" i="2"/>
  <c r="Q5" i="2"/>
  <c r="Q2" i="2"/>
  <c r="Q12" i="2"/>
  <c r="Q13" i="2"/>
  <c r="Q6" i="2"/>
  <c r="Q11" i="2"/>
  <c r="Q4" i="2"/>
  <c r="Q10" i="2"/>
  <c r="Q3" i="2"/>
  <c r="Q8" i="2"/>
</calcChain>
</file>

<file path=xl/sharedStrings.xml><?xml version="1.0" encoding="utf-8"?>
<sst xmlns="http://schemas.openxmlformats.org/spreadsheetml/2006/main" count="119" uniqueCount="96">
  <si>
    <t>Player Name</t>
  </si>
  <si>
    <t>Age</t>
  </si>
  <si>
    <t>PA</t>
  </si>
  <si>
    <t>AVG</t>
  </si>
  <si>
    <t>OBP</t>
  </si>
  <si>
    <t>SLG</t>
  </si>
  <si>
    <t>OPS</t>
  </si>
  <si>
    <t>HR</t>
  </si>
  <si>
    <t>BB%</t>
  </si>
  <si>
    <t>K%</t>
  </si>
  <si>
    <t>Exit Velocity</t>
  </si>
  <si>
    <t>Hard-Hit %</t>
  </si>
  <si>
    <t>Barrel %</t>
  </si>
  <si>
    <t>wOBA</t>
  </si>
  <si>
    <t>xwOBA</t>
  </si>
  <si>
    <t>xBA</t>
  </si>
  <si>
    <t>xSLG</t>
  </si>
  <si>
    <t>xwOBA Gap</t>
  </si>
  <si>
    <t>xSLG Gap</t>
  </si>
  <si>
    <t>Sample Size</t>
  </si>
  <si>
    <t>Ben Malgeri</t>
  </si>
  <si>
    <t>Brett Callahan</t>
  </si>
  <si>
    <t>Colt Keith</t>
  </si>
  <si>
    <t>Corey Julks</t>
  </si>
  <si>
    <t>Dillon Dingler</t>
  </si>
  <si>
    <t>Eduardo Valencia</t>
  </si>
  <si>
    <t>Gleyber Torres</t>
  </si>
  <si>
    <t>Hao-Yu Lee</t>
  </si>
  <si>
    <t>Jace Jung</t>
  </si>
  <si>
    <t>Javier Báez</t>
  </si>
  <si>
    <t>John Peck</t>
  </si>
  <si>
    <t>Kerry Carpenter</t>
  </si>
  <si>
    <t>Kevin McGonigle</t>
  </si>
  <si>
    <t>Matt Vierling</t>
  </si>
  <si>
    <t>Max Clark</t>
  </si>
  <si>
    <t>Parker Meadows</t>
  </si>
  <si>
    <t>Riley Greene</t>
  </si>
  <si>
    <t>Spencer Torkelson</t>
  </si>
  <si>
    <t>Wenceel Pérez</t>
  </si>
  <si>
    <t>Zach McKinstry</t>
  </si>
  <si>
    <t>AVG Gap</t>
  </si>
  <si>
    <t>BB/K Ratio</t>
  </si>
  <si>
    <t>Performance Category</t>
  </si>
  <si>
    <t>xwOBA Percentile</t>
  </si>
  <si>
    <t>Hard-Hit Percentile</t>
  </si>
  <si>
    <t>Barrel Percentile</t>
  </si>
  <si>
    <t>Discipline Percentile</t>
  </si>
  <si>
    <t>Sustainability Score</t>
  </si>
  <si>
    <t>Rank</t>
  </si>
  <si>
    <t>Positive gap = expected stats higher than actual stats</t>
  </si>
  <si>
    <t>Negative gap = actual stats higher than expected stats</t>
  </si>
  <si>
    <t>Main analysis uses hitters with 100+ PA</t>
  </si>
  <si>
    <t>1. Matt Vierling shows the largest positive xwOBA gap, suggesting his underlying contact quality was better than his actual results.
2. Eduardo Valencia shows the largest negative gap, meaning his actual production substantially exceeded his expected production.
3. Most Tigers hitters fall close to the reference line, meaning their actual and expected offensive performance were fairly similar.</t>
  </si>
  <si>
    <r>
      <t xml:space="preserve">Here’s a clean </t>
    </r>
    <r>
      <rPr>
        <b/>
        <sz val="10"/>
        <color theme="1"/>
        <rFont val="Calibri"/>
        <family val="2"/>
        <scheme val="minor"/>
      </rPr>
      <t>Key Findings</t>
    </r>
    <r>
      <rPr>
        <sz val="10"/>
        <color theme="1"/>
        <rFont val="Calibri"/>
        <family val="2"/>
        <scheme val="minor"/>
      </rPr>
      <t xml:space="preserve"> section you can paste into your Excel sheet or later into GitHub:</t>
    </r>
  </si>
  <si>
    <r>
      <t>Riley Greene ranked first overall</t>
    </r>
    <r>
      <rPr>
        <sz val="10"/>
        <color theme="1"/>
        <rFont val="Calibri"/>
        <family val="2"/>
        <scheme val="minor"/>
      </rPr>
      <t xml:space="preserve"> with a Sustainability Score of </t>
    </r>
    <r>
      <rPr>
        <b/>
        <sz val="10"/>
        <color theme="1"/>
        <rFont val="Calibri"/>
        <family val="2"/>
        <scheme val="minor"/>
      </rPr>
      <t>88.5</t>
    </r>
    <r>
      <rPr>
        <sz val="10"/>
        <color theme="1"/>
        <rFont val="Calibri"/>
        <family val="2"/>
        <scheme val="minor"/>
      </rPr>
      <t>, supported by a strong combination of xwOBA, hard-hit rate, and barrel rate. His actual and expected offensive production were also very close, suggesting his results were largely supported by his underlying metrics.</t>
    </r>
  </si>
  <si>
    <r>
      <t>Eduardo Valencia ranked second at 86.1</t>
    </r>
    <r>
      <rPr>
        <sz val="10"/>
        <color theme="1"/>
        <rFont val="Calibri"/>
        <family val="2"/>
        <scheme val="minor"/>
      </rPr>
      <t xml:space="preserve"> and showed some of the strongest contact-quality metrics in the group. However, his actual production exceeded his expected metrics by a noticeable margin, so his results should be interpreted with some caution.</t>
    </r>
  </si>
  <si>
    <r>
      <t>Dillon Dingler ranked third at 68.9</t>
    </r>
    <r>
      <rPr>
        <sz val="10"/>
        <color theme="1"/>
        <rFont val="Calibri"/>
        <family val="2"/>
        <scheme val="minor"/>
      </rPr>
      <t>, showing a balanced offensive profile with solid expected production and quality-of-contact metrics.</t>
    </r>
  </si>
  <si>
    <r>
      <t>Kevin McGonigle ranked fourth at 66.8</t>
    </r>
    <r>
      <rPr>
        <sz val="10"/>
        <color theme="1"/>
        <rFont val="Calibri"/>
        <family val="2"/>
        <scheme val="minor"/>
      </rPr>
      <t xml:space="preserve"> and stood out most for plate discipline. His </t>
    </r>
    <r>
      <rPr>
        <b/>
        <sz val="10"/>
        <color theme="1"/>
        <rFont val="Calibri"/>
        <family val="2"/>
        <scheme val="minor"/>
      </rPr>
      <t>0.95 BB/K ratio</t>
    </r>
    <r>
      <rPr>
        <sz val="10"/>
        <color theme="1"/>
        <rFont val="Calibri"/>
        <family val="2"/>
        <scheme val="minor"/>
      </rPr>
      <t xml:space="preserve"> was the highest among the hitters analyzed, indicating an especially strong walk-to-strikeout profile.</t>
    </r>
  </si>
  <si>
    <r>
      <t>Matt Vierling showed the largest positive xwOBA gap</t>
    </r>
    <r>
      <rPr>
        <sz val="10"/>
        <color theme="1"/>
        <rFont val="Calibri"/>
        <family val="2"/>
        <scheme val="minor"/>
      </rPr>
      <t>, meaning his expected offensive performance was notably better than his actual results. This makes him one of the clearest underperformance candidates in the dataset.</t>
    </r>
  </si>
  <si>
    <r>
      <t>Eduardo Valencia showed the largest negative xwOBA gap</t>
    </r>
    <r>
      <rPr>
        <sz val="10"/>
        <color theme="1"/>
        <rFont val="Calibri"/>
        <family val="2"/>
        <scheme val="minor"/>
      </rPr>
      <t>, meaning his actual results were substantially better than his expected results. This may indicate some level of overperformance relative to his underlying metrics.</t>
    </r>
  </si>
  <si>
    <r>
      <t>Most Tigers hitters were relatively close to their expected performance</t>
    </r>
    <r>
      <rPr>
        <sz val="10"/>
        <color theme="1"/>
        <rFont val="Calibri"/>
        <family val="2"/>
        <scheme val="minor"/>
      </rPr>
      <t>, suggesting that actual results generally aligned with underlying offensive quality for much of the sample.</t>
    </r>
  </si>
  <si>
    <r>
      <t>The lowest Sustainability Scores belonged to Javier Báez and Zach McKinstry</t>
    </r>
    <r>
      <rPr>
        <sz val="10"/>
        <color theme="1"/>
        <rFont val="Calibri"/>
        <family val="2"/>
        <scheme val="minor"/>
      </rPr>
      <t>, reflecting weaker overall profiles across the selected expected-performance, contact-quality, and plate-discipline metrics.</t>
    </r>
  </si>
  <si>
    <t>Overall, the analysis suggests Riley Greene has the strongest combination of sustainable offensive indicators, while players such as Matt Vierling may have additional upside that was not fully reflected in their actual results</t>
  </si>
  <si>
    <t>Project Goal:</t>
  </si>
  <si>
    <t>Evaluate Detroit Tigers hitters using traditional and Statcast metrics to identify sustainable performers, possible breakout candidates, and players whose actual results differ from their expected results.</t>
  </si>
  <si>
    <t>Sample Size:</t>
  </si>
  <si>
    <t>Main analysis includes hitters with at least 100 plate appearances.</t>
  </si>
  <si>
    <t>Large Sample = 500+ PA</t>
  </si>
  <si>
    <t>Medium Sample = 250–499 PA</t>
  </si>
  <si>
    <t>Small Sample = 100–249 PA</t>
  </si>
  <si>
    <t>Very Small Sample = Under 100 PA</t>
  </si>
  <si>
    <t>xwOBA Gap:</t>
  </si>
  <si>
    <t>Formula = xwOBA - wOBA</t>
  </si>
  <si>
    <t>Positive values mean expected production was better than actual production.</t>
  </si>
  <si>
    <t>Negative values mean actual production was better than expected production.</t>
  </si>
  <si>
    <t>xSLG Gap:</t>
  </si>
  <si>
    <t>Formula = xSLG - SLG</t>
  </si>
  <si>
    <t>Positive values suggest the player may have deserved more power production based on contact quality.</t>
  </si>
  <si>
    <t>Negative values suggest actual slugging exceeded expected slugging.</t>
  </si>
  <si>
    <t>AVG Gap:</t>
  </si>
  <si>
    <t>Formula = xBA - AVG</t>
  </si>
  <si>
    <t>Positive values mean expected batting average was higher than actual batting average.</t>
  </si>
  <si>
    <t>Negative values mean actual batting average exceeded expected batting average.</t>
  </si>
  <si>
    <t>BB/K Ratio:</t>
  </si>
  <si>
    <t>Formula = BB% / K%</t>
  </si>
  <si>
    <t>Higher values generally indicate stronger plate discipline.</t>
  </si>
  <si>
    <t>Performance Category:</t>
  </si>
  <si>
    <t>xwOBA Gap &gt;= 0.025 = Underperforming Expected Results</t>
  </si>
  <si>
    <t>xwOBA Gap &lt;= -0.025 = Outperforming Expected Results</t>
  </si>
  <si>
    <t>Between -0.025 and 0.025 = Results Match Expectations</t>
  </si>
  <si>
    <t>Important:</t>
  </si>
  <si>
    <t>Expected statistics are not predictions of future performance. They estimate what results might have been expected based on quality of contact and other inputs.</t>
  </si>
  <si>
    <t>Interpretation:</t>
  </si>
  <si>
    <t>Underperforming does not automatically mean a player will improve.</t>
  </si>
  <si>
    <t>Outperforming does not automatically mean a player will decline.</t>
  </si>
  <si>
    <t>Sample size, injuries, defense, ballpark effects, speed, and other contextual factors should also be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</si>
</sst>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sz val="9"/>
      <color theme="1"/>
      <name val="Arial Unicode MS"/>
    </font>
    <font>
      <sz val="9"/>
      <color theme="1"/>
      <name val="Calibri"/>
      <family val="2"/>
      <scheme val="minor"/>
    </font>
    <font>
      <b/>
      <sz val="9"/>
      <color theme="1"/>
      <name val="Arial Unicode MS"/>
    </font>
    <font>
      <sz val="10"/>
      <color theme="1"/>
      <name val="Calibri"/>
      <family val="2"/>
      <scheme val="minor"/>
    </font>
    <font>
      <b/>
      <sz val="10"/>
      <color theme="1"/>
      <name val="Calibri"/>
      <family val="2"/>
      <scheme val="minor"/>
    </font>
    <font>
      <sz val="11"/>
      <color theme="1"/>
      <name val="Abadi"/>
      <family val="2"/>
    </font>
  </fonts>
  <fills count="3">
    <fill>
      <patternFill patternType="none"/>
    </fill>
    <fill>
      <patternFill patternType="gray125"/>
    </fill>
    <fill>
      <patternFill patternType="solid">
        <fgColor theme="7" tint="0.39997558519241921"/>
        <bgColor indexed="65"/>
      </patternFill>
    </fill>
  </fills>
  <borders count="1">
    <border>
      <left/>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18">
    <xf numFmtId="0" fontId="0" fillId="0" borderId="0" xfId="0"/>
    <xf numFmtId="10" fontId="0" fillId="0" borderId="0" xfId="0" applyNumberFormat="1"/>
    <xf numFmtId="0" fontId="3" fillId="0" borderId="0" xfId="0" applyFont="1" applyAlignment="1">
      <alignment vertical="center"/>
    </xf>
    <xf numFmtId="0" fontId="3" fillId="0" borderId="0" xfId="0" applyFont="1"/>
    <xf numFmtId="0" fontId="5" fillId="0" borderId="0" xfId="0" applyFont="1"/>
    <xf numFmtId="0" fontId="2" fillId="0" borderId="0" xfId="0" applyFont="1"/>
    <xf numFmtId="0" fontId="5" fillId="0" borderId="0" xfId="0" applyFont="1" applyAlignment="1">
      <alignment wrapText="1"/>
    </xf>
    <xf numFmtId="0" fontId="0" fillId="0" borderId="0" xfId="0" applyAlignment="1">
      <alignment wrapText="1"/>
    </xf>
    <xf numFmtId="0" fontId="6"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xf>
    <xf numFmtId="9" fontId="0" fillId="0" borderId="0" xfId="1" applyFont="1"/>
    <xf numFmtId="9" fontId="5" fillId="0" borderId="0" xfId="1" applyFont="1"/>
    <xf numFmtId="0" fontId="7" fillId="0" borderId="0" xfId="0" applyFont="1" applyAlignment="1">
      <alignment horizontal="left"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2" borderId="0" xfId="2" applyFont="1" applyAlignment="1">
      <alignment horizontal="left" vertical="center" wrapText="1"/>
    </xf>
  </cellXfs>
  <cellStyles count="3">
    <cellStyle name="60% - Accent4" xfId="2" builtinId="44"/>
    <cellStyle name="Normal" xfId="0" builtinId="0"/>
    <cellStyle name="Percent" xfId="1" builtinId="5"/>
  </cellStyles>
  <dxfs count="11">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Bell MT" panose="02020503060305020303" pitchFamily="18" charset="0"/>
                <a:ea typeface="+mn-ea"/>
                <a:cs typeface="+mn-cs"/>
              </a:defRPr>
            </a:pPr>
            <a:r>
              <a:rPr lang="en-US" sz="1400">
                <a:latin typeface="Bell MT" panose="02020503060305020303" pitchFamily="18" charset="0"/>
              </a:rPr>
              <a:t>Detroit Tigers: Actual vs Expected Offensive Performance</a:t>
            </a:r>
          </a:p>
          <a:p>
            <a:pPr>
              <a:defRPr>
                <a:latin typeface="Bell MT" panose="02020503060305020303" pitchFamily="18" charset="0"/>
              </a:defRPr>
            </a:pPr>
            <a:endParaRPr lang="en-US">
              <a:latin typeface="Bell MT" panose="02020503060305020303" pitchFamily="18" charset="0"/>
            </a:endParaRPr>
          </a:p>
        </c:rich>
      </c:tx>
      <c:layout>
        <c:manualLayout>
          <c:xMode val="edge"/>
          <c:yMode val="edge"/>
          <c:x val="0.16176664210818245"/>
          <c:y val="2.90514702965742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Bell MT" panose="02020503060305020303" pitchFamily="18" charset="0"/>
              <a:ea typeface="+mn-ea"/>
              <a:cs typeface="+mn-cs"/>
            </a:defRPr>
          </a:pPr>
          <a:endParaRPr lang="en-US"/>
        </a:p>
      </c:txPr>
    </c:title>
    <c:autoTitleDeleted val="0"/>
    <c:plotArea>
      <c:layout>
        <c:manualLayout>
          <c:layoutTarget val="inner"/>
          <c:xMode val="edge"/>
          <c:yMode val="edge"/>
          <c:x val="7.9922053985576114E-2"/>
          <c:y val="0.12879881823764711"/>
          <c:w val="0.88767074125834045"/>
          <c:h val="0.76045175601899384"/>
        </c:manualLayout>
      </c:layout>
      <c:scatterChart>
        <c:scatterStyle val="lineMarker"/>
        <c:varyColors val="0"/>
        <c:ser>
          <c:idx val="0"/>
          <c:order val="0"/>
          <c:tx>
            <c:strRef>
              <c:f>Analysis!$I$1</c:f>
              <c:strCache>
                <c:ptCount val="1"/>
                <c:pt idx="0">
                  <c:v>xwOBA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7BEFBFCD-6AB2-4BF0-A034-DF349CF4D5C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FF7-47C7-8524-F2EABDF34393}"/>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6B806F-1323-4DEC-9B48-1813557CBB19}" type="CELLRANGE">
                      <a:rPr lang="en-US"/>
                      <a:pPr>
                        <a:defRPr/>
                      </a:pPr>
                      <a:t>[CELLRANGE]</a:t>
                    </a:fld>
                    <a:endParaRPr lang="en-US"/>
                  </a:p>
                </c:rich>
              </c:tx>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FF7-47C7-8524-F2EABDF34393}"/>
                </c:ext>
              </c:extLst>
            </c:dLbl>
            <c:dLbl>
              <c:idx val="2"/>
              <c:tx>
                <c:rich>
                  <a:bodyPr/>
                  <a:lstStyle/>
                  <a:p>
                    <a:fld id="{85695D20-635D-442F-8888-4F3C2870358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FF7-47C7-8524-F2EABDF34393}"/>
                </c:ext>
              </c:extLst>
            </c:dLbl>
            <c:dLbl>
              <c:idx val="3"/>
              <c:layout>
                <c:manualLayout>
                  <c:x val="-0.23981999757846126"/>
                  <c:y val="-1.5275590598535563E-2"/>
                </c:manualLayout>
              </c:layout>
              <c:tx>
                <c:rich>
                  <a:bodyPr/>
                  <a:lstStyle/>
                  <a:p>
                    <a:fld id="{C3F37205-E1A8-4BFA-9F73-1DCFFAAFE8F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8FF7-47C7-8524-F2EABDF34393}"/>
                </c:ext>
              </c:extLst>
            </c:dLbl>
            <c:dLbl>
              <c:idx val="4"/>
              <c:delete val="1"/>
              <c:extLst>
                <c:ext xmlns:c15="http://schemas.microsoft.com/office/drawing/2012/chart" uri="{CE6537A1-D6FC-4f65-9D91-7224C49458BB}"/>
                <c:ext xmlns:c16="http://schemas.microsoft.com/office/drawing/2014/chart" uri="{C3380CC4-5D6E-409C-BE32-E72D297353CC}">
                  <c16:uniqueId val="{0000002F-8FF7-47C7-8524-F2EABDF34393}"/>
                </c:ext>
              </c:extLst>
            </c:dLbl>
            <c:dLbl>
              <c:idx val="5"/>
              <c:delete val="1"/>
              <c:extLst>
                <c:ext xmlns:c15="http://schemas.microsoft.com/office/drawing/2012/chart" uri="{CE6537A1-D6FC-4f65-9D91-7224C49458BB}"/>
                <c:ext xmlns:c16="http://schemas.microsoft.com/office/drawing/2014/chart" uri="{C3380CC4-5D6E-409C-BE32-E72D297353CC}">
                  <c16:uniqueId val="{00000030-8FF7-47C7-8524-F2EABDF34393}"/>
                </c:ext>
              </c:extLst>
            </c:dLbl>
            <c:dLbl>
              <c:idx val="6"/>
              <c:layout>
                <c:manualLayout>
                  <c:x val="3.291477565598639E-2"/>
                  <c:y val="1.1456692948901646E-2"/>
                </c:manualLayout>
              </c:layout>
              <c:tx>
                <c:rich>
                  <a:bodyPr/>
                  <a:lstStyle/>
                  <a:p>
                    <a:fld id="{BFD3E48F-2D54-4EAD-9616-11706A03CC5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8FF7-47C7-8524-F2EABDF34393}"/>
                </c:ext>
              </c:extLst>
            </c:dLbl>
            <c:dLbl>
              <c:idx val="7"/>
              <c:delete val="1"/>
              <c:extLst>
                <c:ext xmlns:c15="http://schemas.microsoft.com/office/drawing/2012/chart" uri="{CE6537A1-D6FC-4f65-9D91-7224C49458BB}"/>
                <c:ext xmlns:c16="http://schemas.microsoft.com/office/drawing/2014/chart" uri="{C3380CC4-5D6E-409C-BE32-E72D297353CC}">
                  <c16:uniqueId val="{00000032-8FF7-47C7-8524-F2EABDF34393}"/>
                </c:ext>
              </c:extLst>
            </c:dLbl>
            <c:dLbl>
              <c:idx val="8"/>
              <c:delete val="1"/>
              <c:extLst>
                <c:ext xmlns:c15="http://schemas.microsoft.com/office/drawing/2012/chart" uri="{CE6537A1-D6FC-4f65-9D91-7224C49458BB}"/>
                <c:ext xmlns:c16="http://schemas.microsoft.com/office/drawing/2014/chart" uri="{C3380CC4-5D6E-409C-BE32-E72D297353CC}">
                  <c16:uniqueId val="{00000033-8FF7-47C7-8524-F2EABDF34393}"/>
                </c:ext>
              </c:extLst>
            </c:dLbl>
            <c:dLbl>
              <c:idx val="9"/>
              <c:delete val="1"/>
              <c:extLst>
                <c:ext xmlns:c15="http://schemas.microsoft.com/office/drawing/2012/chart" uri="{CE6537A1-D6FC-4f65-9D91-7224C49458BB}"/>
                <c:ext xmlns:c16="http://schemas.microsoft.com/office/drawing/2014/chart" uri="{C3380CC4-5D6E-409C-BE32-E72D297353CC}">
                  <c16:uniqueId val="{00000034-8FF7-47C7-8524-F2EABDF34393}"/>
                </c:ext>
              </c:extLst>
            </c:dLbl>
            <c:dLbl>
              <c:idx val="10"/>
              <c:layout>
                <c:manualLayout>
                  <c:x val="-0.18165294564511839"/>
                  <c:y val="0"/>
                </c:manualLayout>
              </c:layout>
              <c:tx>
                <c:rich>
                  <a:bodyPr/>
                  <a:lstStyle/>
                  <a:p>
                    <a:fld id="{5536B232-E666-40E9-84A9-6AEF92B28F4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8FF7-47C7-8524-F2EABDF34393}"/>
                </c:ext>
              </c:extLst>
            </c:dLbl>
            <c:dLbl>
              <c:idx val="11"/>
              <c:layout>
                <c:manualLayout>
                  <c:x val="-1.3553810241706281E-2"/>
                  <c:y val="-0.11456692948901646"/>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B09EA9DA-EC50-4771-8C01-66BF321B1AC9}" type="CELLRANGE">
                      <a:rPr lang="en-US"/>
                      <a:pPr>
                        <a:defRPr>
                          <a:solidFill>
                            <a:sysClr val="windowText" lastClr="000000"/>
                          </a:solidFill>
                        </a:defRPr>
                      </a:pPr>
                      <a:t>[CELLRANGE]</a:t>
                    </a:fld>
                    <a:endParaRPr lang="en-US"/>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8FF7-47C7-8524-F2EABDF34393}"/>
                </c:ext>
              </c:extLst>
            </c:dLbl>
            <c:dLbl>
              <c:idx val="12"/>
              <c:delete val="1"/>
              <c:extLst>
                <c:ext xmlns:c15="http://schemas.microsoft.com/office/drawing/2012/chart" uri="{CE6537A1-D6FC-4f65-9D91-7224C49458BB}"/>
                <c:ext xmlns:c16="http://schemas.microsoft.com/office/drawing/2014/chart" uri="{C3380CC4-5D6E-409C-BE32-E72D297353CC}">
                  <c16:uniqueId val="{00000037-8FF7-47C7-8524-F2EABDF34393}"/>
                </c:ext>
              </c:extLst>
            </c:dLbl>
            <c:dLbl>
              <c:idx val="13"/>
              <c:delete val="1"/>
              <c:extLst>
                <c:ext xmlns:c15="http://schemas.microsoft.com/office/drawing/2012/chart" uri="{CE6537A1-D6FC-4f65-9D91-7224C49458BB}"/>
                <c:ext xmlns:c16="http://schemas.microsoft.com/office/drawing/2014/chart" uri="{C3380CC4-5D6E-409C-BE32-E72D297353CC}">
                  <c16:uniqueId val="{00000038-8FF7-47C7-8524-F2EABDF34393}"/>
                </c:ext>
              </c:extLst>
            </c:dLbl>
            <c:dLbl>
              <c:idx val="14"/>
              <c:delete val="1"/>
              <c:extLst>
                <c:ext xmlns:c15="http://schemas.microsoft.com/office/drawing/2012/chart" uri="{CE6537A1-D6FC-4f65-9D91-7224C49458BB}"/>
                <c:ext xmlns:c16="http://schemas.microsoft.com/office/drawing/2014/chart" uri="{C3380CC4-5D6E-409C-BE32-E72D297353CC}">
                  <c16:uniqueId val="{00000039-8FF7-47C7-8524-F2EABDF343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Analysis!$H$2:$H$16</c:f>
              <c:numCache>
                <c:formatCode>General</c:formatCode>
                <c:ptCount val="15"/>
                <c:pt idx="0">
                  <c:v>0.36599999999999999</c:v>
                </c:pt>
                <c:pt idx="1">
                  <c:v>0.433</c:v>
                </c:pt>
                <c:pt idx="2">
                  <c:v>0.32500000000000001</c:v>
                </c:pt>
                <c:pt idx="3">
                  <c:v>0.35699999999999998</c:v>
                </c:pt>
                <c:pt idx="4">
                  <c:v>0.32100000000000001</c:v>
                </c:pt>
                <c:pt idx="5">
                  <c:v>0.34100000000000003</c:v>
                </c:pt>
                <c:pt idx="6">
                  <c:v>0.33700000000000002</c:v>
                </c:pt>
                <c:pt idx="7">
                  <c:v>0.32800000000000001</c:v>
                </c:pt>
                <c:pt idx="8">
                  <c:v>0.30099999999999999</c:v>
                </c:pt>
                <c:pt idx="9">
                  <c:v>0.32500000000000001</c:v>
                </c:pt>
                <c:pt idx="10">
                  <c:v>0.33700000000000002</c:v>
                </c:pt>
                <c:pt idx="11">
                  <c:v>0.25800000000000001</c:v>
                </c:pt>
                <c:pt idx="12">
                  <c:v>0.26200000000000001</c:v>
                </c:pt>
                <c:pt idx="13">
                  <c:v>0.26500000000000001</c:v>
                </c:pt>
                <c:pt idx="14">
                  <c:v>0.27700000000000002</c:v>
                </c:pt>
              </c:numCache>
            </c:numRef>
          </c:xVal>
          <c:yVal>
            <c:numRef>
              <c:f>Analysis!$I$2:$I$16</c:f>
              <c:numCache>
                <c:formatCode>General</c:formatCode>
                <c:ptCount val="15"/>
                <c:pt idx="0">
                  <c:v>0.36899999999999999</c:v>
                </c:pt>
                <c:pt idx="1">
                  <c:v>0.372</c:v>
                </c:pt>
                <c:pt idx="2">
                  <c:v>0.34399999999999997</c:v>
                </c:pt>
                <c:pt idx="3">
                  <c:v>0.35499999999999998</c:v>
                </c:pt>
                <c:pt idx="4">
                  <c:v>0.33300000000000002</c:v>
                </c:pt>
                <c:pt idx="5">
                  <c:v>0.317</c:v>
                </c:pt>
                <c:pt idx="6">
                  <c:v>0.314</c:v>
                </c:pt>
                <c:pt idx="7">
                  <c:v>0.32500000000000001</c:v>
                </c:pt>
                <c:pt idx="8">
                  <c:v>0.29499999999999998</c:v>
                </c:pt>
                <c:pt idx="9">
                  <c:v>0.30199999999999999</c:v>
                </c:pt>
                <c:pt idx="10">
                  <c:v>0.314</c:v>
                </c:pt>
                <c:pt idx="11">
                  <c:v>0.30399999999999999</c:v>
                </c:pt>
                <c:pt idx="12">
                  <c:v>0.27200000000000002</c:v>
                </c:pt>
                <c:pt idx="13">
                  <c:v>0.28399999999999997</c:v>
                </c:pt>
                <c:pt idx="14">
                  <c:v>0.26600000000000001</c:v>
                </c:pt>
              </c:numCache>
            </c:numRef>
          </c:yVal>
          <c:smooth val="0"/>
          <c:extLst>
            <c:ext xmlns:c15="http://schemas.microsoft.com/office/drawing/2012/chart" uri="{02D57815-91ED-43cb-92C2-25804820EDAC}">
              <c15:datalabelsRange>
                <c15:f>Analysis!$A$2:$A$16</c15:f>
                <c15:dlblRange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15:dlblRangeCache>
              </c15:datalabelsRange>
            </c:ext>
            <c:ext xmlns:c16="http://schemas.microsoft.com/office/drawing/2014/chart" uri="{C3380CC4-5D6E-409C-BE32-E72D297353CC}">
              <c16:uniqueId val="{00000000-8FF7-47C7-8524-F2EABDF34393}"/>
            </c:ext>
          </c:extLst>
        </c:ser>
        <c:ser>
          <c:idx val="1"/>
          <c:order val="1"/>
          <c:tx>
            <c:v>Refrence Line</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Analysis!#REF!</c:f>
              <c:strCache>
                <c:ptCount val="1"/>
                <c:pt idx="0">
                  <c:v>#REF!</c:v>
                </c:pt>
              </c:strCache>
            </c:strRef>
          </c:xVal>
          <c:yVal>
            <c:numRef>
              <c:f>Analysis!#REF!</c:f>
              <c:numCache>
                <c:formatCode>General</c:formatCode>
                <c:ptCount val="1"/>
                <c:pt idx="0">
                  <c:v>1</c:v>
                </c:pt>
              </c:numCache>
            </c:numRef>
          </c:yVal>
          <c:smooth val="0"/>
          <c:extLst>
            <c:ext xmlns:c16="http://schemas.microsoft.com/office/drawing/2014/chart" uri="{C3380CC4-5D6E-409C-BE32-E72D297353CC}">
              <c16:uniqueId val="{0000003B-8FF7-47C7-8524-F2EABDF34393}"/>
            </c:ext>
          </c:extLst>
        </c:ser>
        <c:dLbls>
          <c:showLegendKey val="0"/>
          <c:showVal val="1"/>
          <c:showCatName val="0"/>
          <c:showSerName val="0"/>
          <c:showPercent val="0"/>
          <c:showBubbleSize val="0"/>
        </c:dLbls>
        <c:axId val="196916288"/>
        <c:axId val="1147701936"/>
      </c:scatterChart>
      <c:valAx>
        <c:axId val="196916288"/>
        <c:scaling>
          <c:orientation val="minMax"/>
          <c:max val="0.44000000000000006"/>
          <c:min val="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Actual wOBA</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01936"/>
        <c:crosses val="autoZero"/>
        <c:crossBetween val="midCat"/>
      </c:valAx>
      <c:valAx>
        <c:axId val="1147701936"/>
        <c:scaling>
          <c:orientation val="minMax"/>
          <c:max val="0.38000000000000006"/>
          <c:min val="0.2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Expected wOBA (xwOBA)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6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b="1">
                <a:latin typeface="Agency FB" panose="020B0503020202020204" pitchFamily="34" charset="0"/>
                <a:cs typeface="Aparajita" panose="020B0502040204020203" pitchFamily="18" charset="0"/>
              </a:rPr>
              <a:t>Detroit Tigers: Quality of Contact</a:t>
            </a:r>
          </a:p>
        </c:rich>
      </c:tx>
      <c:layout>
        <c:manualLayout>
          <c:xMode val="edge"/>
          <c:yMode val="edge"/>
          <c:x val="0.1968500147490839"/>
          <c:y val="2.4469307859546013E-2"/>
        </c:manualLayout>
      </c:layout>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Analysis!$K$1</c:f>
              <c:strCache>
                <c:ptCount val="1"/>
                <c:pt idx="0">
                  <c:v>Barrel %</c:v>
                </c:pt>
              </c:strCache>
            </c:strRef>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layout>
                <c:manualLayout>
                  <c:x val="-0.16549645485010253"/>
                  <c:y val="-8.9207193892889558E-3"/>
                </c:manualLayout>
              </c:layout>
              <c:tx>
                <c:rich>
                  <a:bodyPr/>
                  <a:lstStyle/>
                  <a:p>
                    <a:fld id="{127A93AD-3B19-489C-887F-4A48EAF7A57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A79-468D-B355-901BC72F8CBF}"/>
                </c:ext>
              </c:extLst>
            </c:dLbl>
            <c:dLbl>
              <c:idx val="1"/>
              <c:layout>
                <c:manualLayout>
                  <c:x val="-5.1908761863535033E-2"/>
                  <c:y val="4.4603596946444779E-2"/>
                </c:manualLayout>
              </c:layout>
              <c:tx>
                <c:rich>
                  <a:bodyPr/>
                  <a:lstStyle/>
                  <a:p>
                    <a:fld id="{D5E9DDA9-2AD2-4A71-B625-22F46AF61BA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A79-468D-B355-901BC72F8CBF}"/>
                </c:ext>
              </c:extLst>
            </c:dLbl>
            <c:dLbl>
              <c:idx val="2"/>
              <c:layout>
                <c:manualLayout>
                  <c:x val="-0.15412346043789488"/>
                  <c:y val="-2.9735731297629905E-2"/>
                </c:manualLayout>
              </c:layout>
              <c:tx>
                <c:rich>
                  <a:bodyPr/>
                  <a:lstStyle/>
                  <a:p>
                    <a:fld id="{B7FC9816-9368-41FF-9EE7-26E9F2CE7FD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A79-468D-B355-901BC72F8CBF}"/>
                </c:ext>
              </c:extLst>
            </c:dLbl>
            <c:dLbl>
              <c:idx val="3"/>
              <c:delete val="1"/>
              <c:extLst>
                <c:ext xmlns:c15="http://schemas.microsoft.com/office/drawing/2012/chart" uri="{CE6537A1-D6FC-4f65-9D91-7224C49458BB}"/>
                <c:ext xmlns:c16="http://schemas.microsoft.com/office/drawing/2014/chart" uri="{C3380CC4-5D6E-409C-BE32-E72D297353CC}">
                  <c16:uniqueId val="{00000005-4A79-468D-B355-901BC72F8CBF}"/>
                </c:ext>
              </c:extLst>
            </c:dLbl>
            <c:dLbl>
              <c:idx val="4"/>
              <c:delete val="1"/>
              <c:extLst>
                <c:ext xmlns:c15="http://schemas.microsoft.com/office/drawing/2012/chart" uri="{CE6537A1-D6FC-4f65-9D91-7224C49458BB}"/>
                <c:ext xmlns:c16="http://schemas.microsoft.com/office/drawing/2014/chart" uri="{C3380CC4-5D6E-409C-BE32-E72D297353CC}">
                  <c16:uniqueId val="{00000006-4A79-468D-B355-901BC72F8CBF}"/>
                </c:ext>
              </c:extLst>
            </c:dLbl>
            <c:dLbl>
              <c:idx val="5"/>
              <c:delete val="1"/>
              <c:extLst>
                <c:ext xmlns:c15="http://schemas.microsoft.com/office/drawing/2012/chart" uri="{CE6537A1-D6FC-4f65-9D91-7224C49458BB}"/>
                <c:ext xmlns:c16="http://schemas.microsoft.com/office/drawing/2014/chart" uri="{C3380CC4-5D6E-409C-BE32-E72D297353CC}">
                  <c16:uniqueId val="{00000007-4A79-468D-B355-901BC72F8CBF}"/>
                </c:ext>
              </c:extLst>
            </c:dLbl>
            <c:dLbl>
              <c:idx val="6"/>
              <c:layout>
                <c:manualLayout>
                  <c:x val="-0.16840502285211276"/>
                  <c:y val="-5.649788946549672E-2"/>
                </c:manualLayout>
              </c:layout>
              <c:tx>
                <c:rich>
                  <a:bodyPr/>
                  <a:lstStyle/>
                  <a:p>
                    <a:fld id="{4FBDC751-43F7-4F08-A933-46E49905431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A79-468D-B355-901BC72F8CBF}"/>
                </c:ext>
              </c:extLst>
            </c:dLbl>
            <c:dLbl>
              <c:idx val="7"/>
              <c:delete val="1"/>
              <c:extLst>
                <c:ext xmlns:c15="http://schemas.microsoft.com/office/drawing/2012/chart" uri="{CE6537A1-D6FC-4f65-9D91-7224C49458BB}"/>
                <c:ext xmlns:c16="http://schemas.microsoft.com/office/drawing/2014/chart" uri="{C3380CC4-5D6E-409C-BE32-E72D297353CC}">
                  <c16:uniqueId val="{00000009-4A79-468D-B355-901BC72F8CBF}"/>
                </c:ext>
              </c:extLst>
            </c:dLbl>
            <c:dLbl>
              <c:idx val="8"/>
              <c:layout>
                <c:manualLayout>
                  <c:x val="2.9321152421285284E-2"/>
                  <c:y val="1.7841438778577856E-2"/>
                </c:manualLayout>
              </c:layout>
              <c:tx>
                <c:rich>
                  <a:bodyPr/>
                  <a:lstStyle/>
                  <a:p>
                    <a:fld id="{E587B472-DA1C-4A86-A8FE-6B426A87097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A79-468D-B355-901BC72F8CBF}"/>
                </c:ext>
              </c:extLst>
            </c:dLbl>
            <c:dLbl>
              <c:idx val="9"/>
              <c:delete val="1"/>
              <c:extLst>
                <c:ext xmlns:c15="http://schemas.microsoft.com/office/drawing/2012/chart" uri="{CE6537A1-D6FC-4f65-9D91-7224C49458BB}"/>
                <c:ext xmlns:c16="http://schemas.microsoft.com/office/drawing/2014/chart" uri="{C3380CC4-5D6E-409C-BE32-E72D297353CC}">
                  <c16:uniqueId val="{0000000B-4A79-468D-B355-901BC72F8CBF}"/>
                </c:ext>
              </c:extLst>
            </c:dLbl>
            <c:dLbl>
              <c:idx val="10"/>
              <c:layout>
                <c:manualLayout>
                  <c:x val="-2.3908674125873223E-2"/>
                  <c:y val="-4.1630023816681794E-2"/>
                </c:manualLayout>
              </c:layout>
              <c:tx>
                <c:rich>
                  <a:bodyPr/>
                  <a:lstStyle/>
                  <a:p>
                    <a:fld id="{D12E87C0-C971-4901-82BE-48D121AF273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A79-468D-B355-901BC72F8CBF}"/>
                </c:ext>
              </c:extLst>
            </c:dLbl>
            <c:dLbl>
              <c:idx val="11"/>
              <c:delete val="1"/>
              <c:extLst>
                <c:ext xmlns:c15="http://schemas.microsoft.com/office/drawing/2012/chart" uri="{CE6537A1-D6FC-4f65-9D91-7224C49458BB}"/>
                <c:ext xmlns:c16="http://schemas.microsoft.com/office/drawing/2014/chart" uri="{C3380CC4-5D6E-409C-BE32-E72D297353CC}">
                  <c16:uniqueId val="{0000000D-4A79-468D-B355-901BC72F8CBF}"/>
                </c:ext>
              </c:extLst>
            </c:dLbl>
            <c:dLbl>
              <c:idx val="12"/>
              <c:delete val="1"/>
              <c:extLst>
                <c:ext xmlns:c15="http://schemas.microsoft.com/office/drawing/2012/chart" uri="{CE6537A1-D6FC-4f65-9D91-7224C49458BB}"/>
                <c:ext xmlns:c16="http://schemas.microsoft.com/office/drawing/2014/chart" uri="{C3380CC4-5D6E-409C-BE32-E72D297353CC}">
                  <c16:uniqueId val="{0000000E-4A79-468D-B355-901BC72F8CBF}"/>
                </c:ext>
              </c:extLst>
            </c:dLbl>
            <c:dLbl>
              <c:idx val="13"/>
              <c:layout>
                <c:manualLayout>
                  <c:x val="-5.8186681874528065E-2"/>
                  <c:y val="-5.3524316335733735E-2"/>
                </c:manualLayout>
              </c:layout>
              <c:tx>
                <c:rich>
                  <a:bodyPr/>
                  <a:lstStyle/>
                  <a:p>
                    <a:fld id="{677236A1-6AD4-4A03-BC80-886B49AE382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4A79-468D-B355-901BC72F8CBF}"/>
                </c:ext>
              </c:extLst>
            </c:dLbl>
            <c:dLbl>
              <c:idx val="14"/>
              <c:delete val="1"/>
              <c:extLst>
                <c:ext xmlns:c15="http://schemas.microsoft.com/office/drawing/2012/chart" uri="{CE6537A1-D6FC-4f65-9D91-7224C49458BB}"/>
                <c:ext xmlns:c16="http://schemas.microsoft.com/office/drawing/2014/chart" uri="{C3380CC4-5D6E-409C-BE32-E72D297353CC}">
                  <c16:uniqueId val="{00000010-4A79-468D-B355-901BC72F8C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Analysis!$J$2:$J$16</c:f>
              <c:numCache>
                <c:formatCode>0.00%</c:formatCode>
                <c:ptCount val="15"/>
                <c:pt idx="0">
                  <c:v>0.46</c:v>
                </c:pt>
                <c:pt idx="1">
                  <c:v>0.495</c:v>
                </c:pt>
                <c:pt idx="2">
                  <c:v>0.434</c:v>
                </c:pt>
                <c:pt idx="3">
                  <c:v>0.376</c:v>
                </c:pt>
                <c:pt idx="4">
                  <c:v>0.42099999999999999</c:v>
                </c:pt>
                <c:pt idx="5">
                  <c:v>0.42399999999999999</c:v>
                </c:pt>
                <c:pt idx="6">
                  <c:v>0.42</c:v>
                </c:pt>
                <c:pt idx="7">
                  <c:v>0.32300000000000001</c:v>
                </c:pt>
                <c:pt idx="8">
                  <c:v>0.44</c:v>
                </c:pt>
                <c:pt idx="9">
                  <c:v>0.41299999999999998</c:v>
                </c:pt>
                <c:pt idx="10">
                  <c:v>0.38</c:v>
                </c:pt>
                <c:pt idx="11">
                  <c:v>0.372</c:v>
                </c:pt>
                <c:pt idx="12">
                  <c:v>0.33300000000000002</c:v>
                </c:pt>
                <c:pt idx="13">
                  <c:v>0.22500000000000001</c:v>
                </c:pt>
                <c:pt idx="14">
                  <c:v>0.34699999999999998</c:v>
                </c:pt>
              </c:numCache>
            </c:numRef>
          </c:xVal>
          <c:yVal>
            <c:numRef>
              <c:f>Analysis!$K$2:$K$16</c:f>
              <c:numCache>
                <c:formatCode>0.00%</c:formatCode>
                <c:ptCount val="15"/>
                <c:pt idx="0">
                  <c:v>0.14799999999999999</c:v>
                </c:pt>
                <c:pt idx="1">
                  <c:v>0.155</c:v>
                </c:pt>
                <c:pt idx="2">
                  <c:v>0.10100000000000001</c:v>
                </c:pt>
                <c:pt idx="3">
                  <c:v>7.2999999999999995E-2</c:v>
                </c:pt>
                <c:pt idx="4">
                  <c:v>7.5999999999999998E-2</c:v>
                </c:pt>
                <c:pt idx="5">
                  <c:v>7.0999999999999994E-2</c:v>
                </c:pt>
                <c:pt idx="6">
                  <c:v>0.122</c:v>
                </c:pt>
                <c:pt idx="7">
                  <c:v>6.0999999999999999E-2</c:v>
                </c:pt>
                <c:pt idx="8">
                  <c:v>9.6000000000000002E-2</c:v>
                </c:pt>
                <c:pt idx="9">
                  <c:v>8.5000000000000006E-2</c:v>
                </c:pt>
                <c:pt idx="10">
                  <c:v>2.1000000000000001E-2</c:v>
                </c:pt>
                <c:pt idx="11">
                  <c:v>0.05</c:v>
                </c:pt>
                <c:pt idx="12">
                  <c:v>7.5999999999999998E-2</c:v>
                </c:pt>
                <c:pt idx="13">
                  <c:v>0.02</c:v>
                </c:pt>
                <c:pt idx="14">
                  <c:v>2.7E-2</c:v>
                </c:pt>
              </c:numCache>
            </c:numRef>
          </c:yVal>
          <c:smooth val="0"/>
          <c:extLst>
            <c:ext xmlns:c15="http://schemas.microsoft.com/office/drawing/2012/chart" uri="{02D57815-91ED-43cb-92C2-25804820EDAC}">
              <c15:datalabelsRange>
                <c15:f>Analysis!$A$2:$A$16</c15:f>
                <c15:dlblRange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15:dlblRangeCache>
              </c15:datalabelsRange>
            </c:ext>
            <c:ext xmlns:c16="http://schemas.microsoft.com/office/drawing/2014/chart" uri="{C3380CC4-5D6E-409C-BE32-E72D297353CC}">
              <c16:uniqueId val="{00000000-4A79-468D-B355-901BC72F8CBF}"/>
            </c:ext>
          </c:extLst>
        </c:ser>
        <c:dLbls>
          <c:showLegendKey val="0"/>
          <c:showVal val="1"/>
          <c:showCatName val="0"/>
          <c:showSerName val="0"/>
          <c:showPercent val="0"/>
          <c:showBubbleSize val="0"/>
        </c:dLbls>
        <c:axId val="263520240"/>
        <c:axId val="301117840"/>
      </c:scatterChart>
      <c:valAx>
        <c:axId val="263520240"/>
        <c:scaling>
          <c:orientation val="minMax"/>
          <c:max val="0.55000000000000004"/>
          <c:min val="0.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Hard-Hit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17840"/>
        <c:crosses val="autoZero"/>
        <c:crossBetween val="midCat"/>
      </c:valAx>
      <c:valAx>
        <c:axId val="301117840"/>
        <c:scaling>
          <c:orientation val="minMax"/>
          <c:max val="0.1600000000000000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Barrel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20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Bell MT" panose="02020503060305020303" pitchFamily="18" charset="0"/>
                <a:ea typeface="+mn-ea"/>
                <a:cs typeface="+mn-cs"/>
              </a:defRPr>
            </a:pPr>
            <a:r>
              <a:rPr lang="en-US" sz="1800" b="1" i="0" u="none" strike="noStrike" cap="all" baseline="0"/>
              <a:t>Detroit Tigers: BB/K Ratio by Hitter</a:t>
            </a:r>
            <a:endParaRPr lang="en-US" sz="2000">
              <a:latin typeface="Bell MT" panose="02020503060305020303" pitchFamily="18" charset="0"/>
            </a:endParaRPr>
          </a:p>
        </c:rich>
      </c:tx>
      <c:layout>
        <c:manualLayout>
          <c:xMode val="edge"/>
          <c:yMode val="edge"/>
          <c:x val="0.10163478722463062"/>
          <c:y val="6.0317475394944482E-2"/>
        </c:manualLayout>
      </c:layout>
      <c:overlay val="0"/>
      <c:spPr>
        <a:noFill/>
        <a:ln>
          <a:noFill/>
        </a:ln>
        <a:effectLst/>
      </c:spPr>
      <c:txPr>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Bell MT" panose="02020503060305020303" pitchFamily="18" charset="0"/>
              <a:ea typeface="+mn-ea"/>
              <a:cs typeface="+mn-cs"/>
            </a:defRPr>
          </a:pPr>
          <a:endParaRPr lang="en-US"/>
        </a:p>
      </c:txPr>
    </c:title>
    <c:autoTitleDeleted val="0"/>
    <c:plotArea>
      <c:layout/>
      <c:barChart>
        <c:barDir val="bar"/>
        <c:grouping val="clustered"/>
        <c:varyColors val="0"/>
        <c:ser>
          <c:idx val="0"/>
          <c:order val="0"/>
          <c:tx>
            <c:strRef>
              <c:f>Analysis!$F$1</c:f>
              <c:strCache>
                <c:ptCount val="1"/>
                <c:pt idx="0">
                  <c:v>BB/K Ratio</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Analysis!$A$2:$A$16</c:f>
              <c:str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strCache>
            </c:strRef>
          </c:cat>
          <c:val>
            <c:numRef>
              <c:f>Analysis!$F$2:$F$16</c:f>
              <c:numCache>
                <c:formatCode>General</c:formatCode>
                <c:ptCount val="15"/>
                <c:pt idx="0">
                  <c:v>0.45</c:v>
                </c:pt>
                <c:pt idx="1">
                  <c:v>0.19</c:v>
                </c:pt>
                <c:pt idx="2">
                  <c:v>0.24</c:v>
                </c:pt>
                <c:pt idx="3">
                  <c:v>0.95</c:v>
                </c:pt>
                <c:pt idx="4">
                  <c:v>0.38</c:v>
                </c:pt>
                <c:pt idx="5">
                  <c:v>0.47</c:v>
                </c:pt>
                <c:pt idx="6">
                  <c:v>0.37</c:v>
                </c:pt>
                <c:pt idx="7">
                  <c:v>0.7</c:v>
                </c:pt>
                <c:pt idx="8">
                  <c:v>0.24</c:v>
                </c:pt>
                <c:pt idx="9">
                  <c:v>0.34</c:v>
                </c:pt>
                <c:pt idx="10">
                  <c:v>0.43</c:v>
                </c:pt>
                <c:pt idx="11">
                  <c:v>0.39</c:v>
                </c:pt>
                <c:pt idx="12">
                  <c:v>0.48</c:v>
                </c:pt>
                <c:pt idx="13">
                  <c:v>0.61</c:v>
                </c:pt>
                <c:pt idx="14">
                  <c:v>0.15</c:v>
                </c:pt>
              </c:numCache>
            </c:numRef>
          </c:val>
          <c:extLst>
            <c:ext xmlns:c16="http://schemas.microsoft.com/office/drawing/2014/chart" uri="{C3380CC4-5D6E-409C-BE32-E72D297353CC}">
              <c16:uniqueId val="{00000000-FED1-4083-88F8-9F42D17F6CBE}"/>
            </c:ext>
          </c:extLst>
        </c:ser>
        <c:dLbls>
          <c:dLblPos val="outEnd"/>
          <c:showLegendKey val="0"/>
          <c:showVal val="1"/>
          <c:showCatName val="0"/>
          <c:showSerName val="0"/>
          <c:showPercent val="0"/>
          <c:showBubbleSize val="0"/>
        </c:dLbls>
        <c:gapWidth val="227"/>
        <c:overlap val="-48"/>
        <c:axId val="196911648"/>
        <c:axId val="300958000"/>
      </c:barChart>
      <c:catAx>
        <c:axId val="196911648"/>
        <c:scaling>
          <c:orientation val="maxMin"/>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958000"/>
        <c:crosses val="autoZero"/>
        <c:auto val="1"/>
        <c:lblAlgn val="ctr"/>
        <c:lblOffset val="100"/>
        <c:noMultiLvlLbl val="0"/>
      </c:catAx>
      <c:valAx>
        <c:axId val="300958000"/>
        <c:scaling>
          <c:orientation val="minMax"/>
        </c:scaling>
        <c:delete val="0"/>
        <c:axPos val="t"/>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BB/K Ratio</a:t>
                </a:r>
              </a:p>
            </c:rich>
          </c:tx>
          <c:layout>
            <c:manualLayout>
              <c:xMode val="edge"/>
              <c:yMode val="edge"/>
              <c:x val="0.4697944732287902"/>
              <c:y val="0.923581178988004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US" sz="2400"/>
              <a:t>Detroit Tigers: Offensive Sustainability Score</a:t>
            </a:r>
          </a:p>
        </c:rich>
      </c:tx>
      <c:layout>
        <c:manualLayout>
          <c:xMode val="edge"/>
          <c:yMode val="edge"/>
          <c:x val="0.20472504185122026"/>
          <c:y val="1.363128483625106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4422260383471966"/>
          <c:y val="0.19685358068765785"/>
          <c:w val="0.72268251097096237"/>
          <c:h val="0.7239906418076163"/>
        </c:manualLayout>
      </c:layout>
      <c:barChart>
        <c:barDir val="bar"/>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Analysis!$A$2:$A$16</c:f>
              <c:str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strCache>
            </c:strRef>
          </c:cat>
          <c:val>
            <c:numRef>
              <c:f>Analysis!$P$2:$P$16</c:f>
              <c:numCache>
                <c:formatCode>General</c:formatCode>
                <c:ptCount val="15"/>
                <c:pt idx="0">
                  <c:v>88.51</c:v>
                </c:pt>
                <c:pt idx="1">
                  <c:v>86.065000000000012</c:v>
                </c:pt>
                <c:pt idx="2">
                  <c:v>68.855000000000004</c:v>
                </c:pt>
                <c:pt idx="3">
                  <c:v>66.765000000000001</c:v>
                </c:pt>
                <c:pt idx="4">
                  <c:v>61.030000000000008</c:v>
                </c:pt>
                <c:pt idx="5">
                  <c:v>58.540000000000006</c:v>
                </c:pt>
                <c:pt idx="6">
                  <c:v>53.890000000000008</c:v>
                </c:pt>
                <c:pt idx="7">
                  <c:v>47.075000000000003</c:v>
                </c:pt>
                <c:pt idx="8">
                  <c:v>46.394999999999996</c:v>
                </c:pt>
                <c:pt idx="9">
                  <c:v>41.015000000000001</c:v>
                </c:pt>
                <c:pt idx="10">
                  <c:v>37.805</c:v>
                </c:pt>
                <c:pt idx="11">
                  <c:v>33.185000000000002</c:v>
                </c:pt>
                <c:pt idx="12">
                  <c:v>28.164999999999996</c:v>
                </c:pt>
                <c:pt idx="13">
                  <c:v>18.535</c:v>
                </c:pt>
                <c:pt idx="14">
                  <c:v>8.19</c:v>
                </c:pt>
              </c:numCache>
            </c:numRef>
          </c:val>
          <c:extLst>
            <c:ext xmlns:c16="http://schemas.microsoft.com/office/drawing/2014/chart" uri="{C3380CC4-5D6E-409C-BE32-E72D297353CC}">
              <c16:uniqueId val="{00000000-91D1-4178-9CAB-B6FE9176E3AE}"/>
            </c:ext>
          </c:extLst>
        </c:ser>
        <c:dLbls>
          <c:dLblPos val="outEnd"/>
          <c:showLegendKey val="0"/>
          <c:showVal val="1"/>
          <c:showCatName val="0"/>
          <c:showSerName val="0"/>
          <c:showPercent val="0"/>
          <c:showBubbleSize val="0"/>
        </c:dLbls>
        <c:gapWidth val="100"/>
        <c:axId val="1149236464"/>
        <c:axId val="199167568"/>
      </c:barChart>
      <c:catAx>
        <c:axId val="1149236464"/>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crossAx val="199167568"/>
        <c:crosses val="autoZero"/>
        <c:auto val="1"/>
        <c:lblAlgn val="ctr"/>
        <c:lblOffset val="100"/>
        <c:noMultiLvlLbl val="0"/>
      </c:catAx>
      <c:valAx>
        <c:axId val="199167568"/>
        <c:scaling>
          <c:orientation val="minMax"/>
        </c:scaling>
        <c:delete val="0"/>
        <c:axPos val="t"/>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Sustainability Score (0–100)</a:t>
                </a:r>
                <a:endParaRPr lang="en-US"/>
              </a:p>
            </c:rich>
          </c:tx>
          <c:layout>
            <c:manualLayout>
              <c:xMode val="edge"/>
              <c:yMode val="edge"/>
              <c:x val="0.49344634874351312"/>
              <c:y val="0.962188568969113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923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Detroit Tigers: Offensive Sustainability Score</a:t>
            </a:r>
          </a:p>
        </c:rich>
      </c:tx>
      <c:layout>
        <c:manualLayout>
          <c:xMode val="edge"/>
          <c:yMode val="edge"/>
          <c:x val="0.20472504185122026"/>
          <c:y val="1.36312848362510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4422260383471966"/>
          <c:y val="0.19685358068765785"/>
          <c:w val="0.72268251097096237"/>
          <c:h val="0.7239906418076163"/>
        </c:manualLayout>
      </c:layout>
      <c:barChart>
        <c:barDir val="bar"/>
        <c:grouping val="cluster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Analysis!$A$2:$A$16</c:f>
              <c:str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strCache>
            </c:strRef>
          </c:cat>
          <c:val>
            <c:numRef>
              <c:f>Analysis!$P$2:$P$16</c:f>
              <c:numCache>
                <c:formatCode>General</c:formatCode>
                <c:ptCount val="15"/>
                <c:pt idx="0">
                  <c:v>88.51</c:v>
                </c:pt>
                <c:pt idx="1">
                  <c:v>86.065000000000012</c:v>
                </c:pt>
                <c:pt idx="2">
                  <c:v>68.855000000000004</c:v>
                </c:pt>
                <c:pt idx="3">
                  <c:v>66.765000000000001</c:v>
                </c:pt>
                <c:pt idx="4">
                  <c:v>61.030000000000008</c:v>
                </c:pt>
                <c:pt idx="5">
                  <c:v>58.540000000000006</c:v>
                </c:pt>
                <c:pt idx="6">
                  <c:v>53.890000000000008</c:v>
                </c:pt>
                <c:pt idx="7">
                  <c:v>47.075000000000003</c:v>
                </c:pt>
                <c:pt idx="8">
                  <c:v>46.394999999999996</c:v>
                </c:pt>
                <c:pt idx="9">
                  <c:v>41.015000000000001</c:v>
                </c:pt>
                <c:pt idx="10">
                  <c:v>37.805</c:v>
                </c:pt>
                <c:pt idx="11">
                  <c:v>33.185000000000002</c:v>
                </c:pt>
                <c:pt idx="12">
                  <c:v>28.164999999999996</c:v>
                </c:pt>
                <c:pt idx="13">
                  <c:v>18.535</c:v>
                </c:pt>
                <c:pt idx="14">
                  <c:v>8.19</c:v>
                </c:pt>
              </c:numCache>
            </c:numRef>
          </c:val>
          <c:extLst>
            <c:ext xmlns:c16="http://schemas.microsoft.com/office/drawing/2014/chart" uri="{C3380CC4-5D6E-409C-BE32-E72D297353CC}">
              <c16:uniqueId val="{00000000-E603-495A-B18B-7BCAF2300B15}"/>
            </c:ext>
          </c:extLst>
        </c:ser>
        <c:dLbls>
          <c:dLblPos val="outEnd"/>
          <c:showLegendKey val="0"/>
          <c:showVal val="1"/>
          <c:showCatName val="0"/>
          <c:showSerName val="0"/>
          <c:showPercent val="0"/>
          <c:showBubbleSize val="0"/>
        </c:dLbls>
        <c:gapWidth val="100"/>
        <c:axId val="1149236464"/>
        <c:axId val="199167568"/>
      </c:barChart>
      <c:catAx>
        <c:axId val="1149236464"/>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crossAx val="199167568"/>
        <c:crosses val="autoZero"/>
        <c:auto val="1"/>
        <c:lblAlgn val="ctr"/>
        <c:lblOffset val="100"/>
        <c:noMultiLvlLbl val="0"/>
      </c:catAx>
      <c:valAx>
        <c:axId val="199167568"/>
        <c:scaling>
          <c:orientation val="minMax"/>
        </c:scaling>
        <c:delete val="0"/>
        <c:axPos val="t"/>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Sustainability Score (0–100)</a:t>
                </a:r>
                <a:endParaRPr lang="en-US"/>
              </a:p>
            </c:rich>
          </c:tx>
          <c:layout>
            <c:manualLayout>
              <c:xMode val="edge"/>
              <c:yMode val="edge"/>
              <c:x val="0.49344634874351312"/>
              <c:y val="0.962188568969113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923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Bell MT" panose="02020503060305020303" pitchFamily="18" charset="0"/>
                <a:ea typeface="+mn-ea"/>
                <a:cs typeface="+mn-cs"/>
              </a:defRPr>
            </a:pPr>
            <a:r>
              <a:rPr lang="en-US" sz="1800">
                <a:latin typeface="Bell MT" panose="02020503060305020303" pitchFamily="18" charset="0"/>
              </a:rPr>
              <a:t>Detroit Tigers: Actual vs Expected Offensive Performance</a:t>
            </a:r>
          </a:p>
          <a:p>
            <a:pPr>
              <a:defRPr sz="1800">
                <a:latin typeface="Bell MT" panose="02020503060305020303" pitchFamily="18" charset="0"/>
              </a:defRPr>
            </a:pPr>
            <a:endParaRPr lang="en-US" sz="1800">
              <a:latin typeface="Bell MT" panose="02020503060305020303" pitchFamily="18" charset="0"/>
            </a:endParaRPr>
          </a:p>
        </c:rich>
      </c:tx>
      <c:layout>
        <c:manualLayout>
          <c:xMode val="edge"/>
          <c:yMode val="edge"/>
          <c:x val="0.16176664210818245"/>
          <c:y val="2.90514702965742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Bell MT" panose="02020503060305020303" pitchFamily="18" charset="0"/>
              <a:ea typeface="+mn-ea"/>
              <a:cs typeface="+mn-cs"/>
            </a:defRPr>
          </a:pPr>
          <a:endParaRPr lang="en-US"/>
        </a:p>
      </c:txPr>
    </c:title>
    <c:autoTitleDeleted val="0"/>
    <c:plotArea>
      <c:layout>
        <c:manualLayout>
          <c:layoutTarget val="inner"/>
          <c:xMode val="edge"/>
          <c:yMode val="edge"/>
          <c:x val="7.9922053985576114E-2"/>
          <c:y val="0.12879881823764711"/>
          <c:w val="0.88767074125834045"/>
          <c:h val="0.76045175601899384"/>
        </c:manualLayout>
      </c:layout>
      <c:scatterChart>
        <c:scatterStyle val="lineMarker"/>
        <c:varyColors val="0"/>
        <c:ser>
          <c:idx val="0"/>
          <c:order val="0"/>
          <c:tx>
            <c:strRef>
              <c:f>Analysis!$I$1</c:f>
              <c:strCache>
                <c:ptCount val="1"/>
                <c:pt idx="0">
                  <c:v>xwOBA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tx>
                <c:rich>
                  <a:bodyPr/>
                  <a:lstStyle/>
                  <a:p>
                    <a:fld id="{ECF4750F-68A6-402F-AEF0-6D38073033B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6D1-41E7-B95A-0DB5BDF68A48}"/>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B2609F-06F0-4014-807E-C9B5213DA747}" type="CELLRANGE">
                      <a:rPr lang="en-US"/>
                      <a:pPr>
                        <a:defRPr/>
                      </a:pPr>
                      <a:t>[CELLRANGE]</a:t>
                    </a:fld>
                    <a:endParaRPr lang="en-US"/>
                  </a:p>
                </c:rich>
              </c:tx>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6D1-41E7-B95A-0DB5BDF68A48}"/>
                </c:ext>
              </c:extLst>
            </c:dLbl>
            <c:dLbl>
              <c:idx val="2"/>
              <c:tx>
                <c:rich>
                  <a:bodyPr/>
                  <a:lstStyle/>
                  <a:p>
                    <a:fld id="{D2EB3913-F53F-4599-B1C8-19310713D8D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6D1-41E7-B95A-0DB5BDF68A48}"/>
                </c:ext>
              </c:extLst>
            </c:dLbl>
            <c:dLbl>
              <c:idx val="3"/>
              <c:layout>
                <c:manualLayout>
                  <c:x val="-0.23981999757846126"/>
                  <c:y val="-1.5275590598535563E-2"/>
                </c:manualLayout>
              </c:layout>
              <c:tx>
                <c:rich>
                  <a:bodyPr/>
                  <a:lstStyle/>
                  <a:p>
                    <a:fld id="{36288190-A82E-41D5-8D57-979D5E8E99B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6D1-41E7-B95A-0DB5BDF68A48}"/>
                </c:ext>
              </c:extLst>
            </c:dLbl>
            <c:dLbl>
              <c:idx val="4"/>
              <c:delete val="1"/>
              <c:extLst>
                <c:ext xmlns:c15="http://schemas.microsoft.com/office/drawing/2012/chart" uri="{CE6537A1-D6FC-4f65-9D91-7224C49458BB}"/>
                <c:ext xmlns:c16="http://schemas.microsoft.com/office/drawing/2014/chart" uri="{C3380CC4-5D6E-409C-BE32-E72D297353CC}">
                  <c16:uniqueId val="{00000004-C6D1-41E7-B95A-0DB5BDF68A48}"/>
                </c:ext>
              </c:extLst>
            </c:dLbl>
            <c:dLbl>
              <c:idx val="5"/>
              <c:delete val="1"/>
              <c:extLst>
                <c:ext xmlns:c15="http://schemas.microsoft.com/office/drawing/2012/chart" uri="{CE6537A1-D6FC-4f65-9D91-7224C49458BB}"/>
                <c:ext xmlns:c16="http://schemas.microsoft.com/office/drawing/2014/chart" uri="{C3380CC4-5D6E-409C-BE32-E72D297353CC}">
                  <c16:uniqueId val="{00000005-C6D1-41E7-B95A-0DB5BDF68A48}"/>
                </c:ext>
              </c:extLst>
            </c:dLbl>
            <c:dLbl>
              <c:idx val="6"/>
              <c:layout>
                <c:manualLayout>
                  <c:x val="3.291477565598639E-2"/>
                  <c:y val="1.1456692948901646E-2"/>
                </c:manualLayout>
              </c:layout>
              <c:tx>
                <c:rich>
                  <a:bodyPr/>
                  <a:lstStyle/>
                  <a:p>
                    <a:fld id="{A5EB33B3-C360-4D91-A891-EC72AF20EC2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6D1-41E7-B95A-0DB5BDF68A48}"/>
                </c:ext>
              </c:extLst>
            </c:dLbl>
            <c:dLbl>
              <c:idx val="7"/>
              <c:delete val="1"/>
              <c:extLst>
                <c:ext xmlns:c15="http://schemas.microsoft.com/office/drawing/2012/chart" uri="{CE6537A1-D6FC-4f65-9D91-7224C49458BB}"/>
                <c:ext xmlns:c16="http://schemas.microsoft.com/office/drawing/2014/chart" uri="{C3380CC4-5D6E-409C-BE32-E72D297353CC}">
                  <c16:uniqueId val="{00000007-C6D1-41E7-B95A-0DB5BDF68A48}"/>
                </c:ext>
              </c:extLst>
            </c:dLbl>
            <c:dLbl>
              <c:idx val="8"/>
              <c:delete val="1"/>
              <c:extLst>
                <c:ext xmlns:c15="http://schemas.microsoft.com/office/drawing/2012/chart" uri="{CE6537A1-D6FC-4f65-9D91-7224C49458BB}"/>
                <c:ext xmlns:c16="http://schemas.microsoft.com/office/drawing/2014/chart" uri="{C3380CC4-5D6E-409C-BE32-E72D297353CC}">
                  <c16:uniqueId val="{00000008-C6D1-41E7-B95A-0DB5BDF68A48}"/>
                </c:ext>
              </c:extLst>
            </c:dLbl>
            <c:dLbl>
              <c:idx val="9"/>
              <c:delete val="1"/>
              <c:extLst>
                <c:ext xmlns:c15="http://schemas.microsoft.com/office/drawing/2012/chart" uri="{CE6537A1-D6FC-4f65-9D91-7224C49458BB}"/>
                <c:ext xmlns:c16="http://schemas.microsoft.com/office/drawing/2014/chart" uri="{C3380CC4-5D6E-409C-BE32-E72D297353CC}">
                  <c16:uniqueId val="{00000009-C6D1-41E7-B95A-0DB5BDF68A48}"/>
                </c:ext>
              </c:extLst>
            </c:dLbl>
            <c:dLbl>
              <c:idx val="10"/>
              <c:layout>
                <c:manualLayout>
                  <c:x val="-0.18165294564511839"/>
                  <c:y val="0"/>
                </c:manualLayout>
              </c:layout>
              <c:tx>
                <c:rich>
                  <a:bodyPr/>
                  <a:lstStyle/>
                  <a:p>
                    <a:fld id="{A5A9D768-A087-4B44-88B0-A56916832FA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6D1-41E7-B95A-0DB5BDF68A48}"/>
                </c:ext>
              </c:extLst>
            </c:dLbl>
            <c:dLbl>
              <c:idx val="11"/>
              <c:layout>
                <c:manualLayout>
                  <c:x val="-1.3553810241706281E-2"/>
                  <c:y val="-0.11456692948901646"/>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FDF191A1-9A77-463D-B115-AADE812557B1}" type="CELLRANGE">
                      <a:rPr lang="en-US"/>
                      <a:pPr>
                        <a:defRPr>
                          <a:solidFill>
                            <a:sysClr val="windowText" lastClr="000000"/>
                          </a:solidFill>
                        </a:defRPr>
                      </a:pPr>
                      <a:t>[CELLRANGE]</a:t>
                    </a:fld>
                    <a:endParaRPr lang="en-US"/>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6D1-41E7-B95A-0DB5BDF68A48}"/>
                </c:ext>
              </c:extLst>
            </c:dLbl>
            <c:dLbl>
              <c:idx val="12"/>
              <c:delete val="1"/>
              <c:extLst>
                <c:ext xmlns:c15="http://schemas.microsoft.com/office/drawing/2012/chart" uri="{CE6537A1-D6FC-4f65-9D91-7224C49458BB}"/>
                <c:ext xmlns:c16="http://schemas.microsoft.com/office/drawing/2014/chart" uri="{C3380CC4-5D6E-409C-BE32-E72D297353CC}">
                  <c16:uniqueId val="{0000000C-C6D1-41E7-B95A-0DB5BDF68A48}"/>
                </c:ext>
              </c:extLst>
            </c:dLbl>
            <c:dLbl>
              <c:idx val="13"/>
              <c:delete val="1"/>
              <c:extLst>
                <c:ext xmlns:c15="http://schemas.microsoft.com/office/drawing/2012/chart" uri="{CE6537A1-D6FC-4f65-9D91-7224C49458BB}"/>
                <c:ext xmlns:c16="http://schemas.microsoft.com/office/drawing/2014/chart" uri="{C3380CC4-5D6E-409C-BE32-E72D297353CC}">
                  <c16:uniqueId val="{0000000D-C6D1-41E7-B95A-0DB5BDF68A48}"/>
                </c:ext>
              </c:extLst>
            </c:dLbl>
            <c:dLbl>
              <c:idx val="14"/>
              <c:delete val="1"/>
              <c:extLst>
                <c:ext xmlns:c15="http://schemas.microsoft.com/office/drawing/2012/chart" uri="{CE6537A1-D6FC-4f65-9D91-7224C49458BB}"/>
                <c:ext xmlns:c16="http://schemas.microsoft.com/office/drawing/2014/chart" uri="{C3380CC4-5D6E-409C-BE32-E72D297353CC}">
                  <c16:uniqueId val="{0000000E-C6D1-41E7-B95A-0DB5BDF68A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Analysis!$H$2:$H$16</c:f>
              <c:numCache>
                <c:formatCode>General</c:formatCode>
                <c:ptCount val="15"/>
                <c:pt idx="0">
                  <c:v>0.36599999999999999</c:v>
                </c:pt>
                <c:pt idx="1">
                  <c:v>0.433</c:v>
                </c:pt>
                <c:pt idx="2">
                  <c:v>0.32500000000000001</c:v>
                </c:pt>
                <c:pt idx="3">
                  <c:v>0.35699999999999998</c:v>
                </c:pt>
                <c:pt idx="4">
                  <c:v>0.32100000000000001</c:v>
                </c:pt>
                <c:pt idx="5">
                  <c:v>0.34100000000000003</c:v>
                </c:pt>
                <c:pt idx="6">
                  <c:v>0.33700000000000002</c:v>
                </c:pt>
                <c:pt idx="7">
                  <c:v>0.32800000000000001</c:v>
                </c:pt>
                <c:pt idx="8">
                  <c:v>0.30099999999999999</c:v>
                </c:pt>
                <c:pt idx="9">
                  <c:v>0.32500000000000001</c:v>
                </c:pt>
                <c:pt idx="10">
                  <c:v>0.33700000000000002</c:v>
                </c:pt>
                <c:pt idx="11">
                  <c:v>0.25800000000000001</c:v>
                </c:pt>
                <c:pt idx="12">
                  <c:v>0.26200000000000001</c:v>
                </c:pt>
                <c:pt idx="13">
                  <c:v>0.26500000000000001</c:v>
                </c:pt>
                <c:pt idx="14">
                  <c:v>0.27700000000000002</c:v>
                </c:pt>
              </c:numCache>
            </c:numRef>
          </c:xVal>
          <c:yVal>
            <c:numRef>
              <c:f>Analysis!$I$2:$I$16</c:f>
              <c:numCache>
                <c:formatCode>General</c:formatCode>
                <c:ptCount val="15"/>
                <c:pt idx="0">
                  <c:v>0.36899999999999999</c:v>
                </c:pt>
                <c:pt idx="1">
                  <c:v>0.372</c:v>
                </c:pt>
                <c:pt idx="2">
                  <c:v>0.34399999999999997</c:v>
                </c:pt>
                <c:pt idx="3">
                  <c:v>0.35499999999999998</c:v>
                </c:pt>
                <c:pt idx="4">
                  <c:v>0.33300000000000002</c:v>
                </c:pt>
                <c:pt idx="5">
                  <c:v>0.317</c:v>
                </c:pt>
                <c:pt idx="6">
                  <c:v>0.314</c:v>
                </c:pt>
                <c:pt idx="7">
                  <c:v>0.32500000000000001</c:v>
                </c:pt>
                <c:pt idx="8">
                  <c:v>0.29499999999999998</c:v>
                </c:pt>
                <c:pt idx="9">
                  <c:v>0.30199999999999999</c:v>
                </c:pt>
                <c:pt idx="10">
                  <c:v>0.314</c:v>
                </c:pt>
                <c:pt idx="11">
                  <c:v>0.30399999999999999</c:v>
                </c:pt>
                <c:pt idx="12">
                  <c:v>0.27200000000000002</c:v>
                </c:pt>
                <c:pt idx="13">
                  <c:v>0.28399999999999997</c:v>
                </c:pt>
                <c:pt idx="14">
                  <c:v>0.26600000000000001</c:v>
                </c:pt>
              </c:numCache>
            </c:numRef>
          </c:yVal>
          <c:smooth val="0"/>
          <c:extLst>
            <c:ext xmlns:c15="http://schemas.microsoft.com/office/drawing/2012/chart" uri="{02D57815-91ED-43cb-92C2-25804820EDAC}">
              <c15:datalabelsRange>
                <c15:f>Analysis!$A$2:$A$16</c15:f>
                <c15:dlblRange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15:dlblRangeCache>
              </c15:datalabelsRange>
            </c:ext>
            <c:ext xmlns:c16="http://schemas.microsoft.com/office/drawing/2014/chart" uri="{C3380CC4-5D6E-409C-BE32-E72D297353CC}">
              <c16:uniqueId val="{0000000F-C6D1-41E7-B95A-0DB5BDF68A48}"/>
            </c:ext>
          </c:extLst>
        </c:ser>
        <c:ser>
          <c:idx val="1"/>
          <c:order val="1"/>
          <c:tx>
            <c:v>Refrence Line</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Analysis!#REF!</c:f>
              <c:strCache>
                <c:ptCount val="1"/>
                <c:pt idx="0">
                  <c:v>#REF!</c:v>
                </c:pt>
              </c:strCache>
            </c:strRef>
          </c:xVal>
          <c:yVal>
            <c:numRef>
              <c:f>Analysis!#REF!</c:f>
              <c:numCache>
                <c:formatCode>General</c:formatCode>
                <c:ptCount val="1"/>
                <c:pt idx="0">
                  <c:v>1</c:v>
                </c:pt>
              </c:numCache>
            </c:numRef>
          </c:yVal>
          <c:smooth val="0"/>
          <c:extLst>
            <c:ext xmlns:c16="http://schemas.microsoft.com/office/drawing/2014/chart" uri="{C3380CC4-5D6E-409C-BE32-E72D297353CC}">
              <c16:uniqueId val="{00000010-C6D1-41E7-B95A-0DB5BDF68A48}"/>
            </c:ext>
          </c:extLst>
        </c:ser>
        <c:dLbls>
          <c:showLegendKey val="0"/>
          <c:showVal val="1"/>
          <c:showCatName val="0"/>
          <c:showSerName val="0"/>
          <c:showPercent val="0"/>
          <c:showBubbleSize val="0"/>
        </c:dLbls>
        <c:axId val="196916288"/>
        <c:axId val="1147701936"/>
      </c:scatterChart>
      <c:valAx>
        <c:axId val="196916288"/>
        <c:scaling>
          <c:orientation val="minMax"/>
          <c:max val="0.44000000000000006"/>
          <c:min val="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Actual wOBA</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01936"/>
        <c:crosses val="autoZero"/>
        <c:crossBetween val="midCat"/>
      </c:valAx>
      <c:valAx>
        <c:axId val="1147701936"/>
        <c:scaling>
          <c:orientation val="minMax"/>
          <c:max val="0.38000000000000006"/>
          <c:min val="0.2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Expected wOBA (xwOBA)</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6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Bell MT" panose="02020503060305020303" pitchFamily="18" charset="0"/>
                <a:ea typeface="+mn-ea"/>
                <a:cs typeface="+mn-cs"/>
              </a:defRPr>
            </a:pPr>
            <a:r>
              <a:rPr lang="en-US" sz="1800" b="0" i="0" u="none" strike="noStrike" cap="all" baseline="0"/>
              <a:t>Detroit Tigers: BB/K Ratio by Hitter</a:t>
            </a:r>
            <a:endParaRPr lang="en-US" sz="2000" b="0">
              <a:latin typeface="Bell MT" panose="02020503060305020303" pitchFamily="18" charset="0"/>
            </a:endParaRPr>
          </a:p>
        </c:rich>
      </c:tx>
      <c:layout>
        <c:manualLayout>
          <c:xMode val="edge"/>
          <c:yMode val="edge"/>
          <c:x val="0.10163478722463062"/>
          <c:y val="6.0317475394944482E-2"/>
        </c:manualLayout>
      </c:layout>
      <c:overlay val="0"/>
      <c:spPr>
        <a:noFill/>
        <a:ln>
          <a:noFill/>
        </a:ln>
        <a:effectLst/>
      </c:spPr>
      <c:txPr>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Bell MT" panose="02020503060305020303" pitchFamily="18" charset="0"/>
              <a:ea typeface="+mn-ea"/>
              <a:cs typeface="+mn-cs"/>
            </a:defRPr>
          </a:pPr>
          <a:endParaRPr lang="en-US"/>
        </a:p>
      </c:txPr>
    </c:title>
    <c:autoTitleDeleted val="0"/>
    <c:plotArea>
      <c:layout/>
      <c:barChart>
        <c:barDir val="bar"/>
        <c:grouping val="clustered"/>
        <c:varyColors val="0"/>
        <c:ser>
          <c:idx val="0"/>
          <c:order val="0"/>
          <c:tx>
            <c:strRef>
              <c:f>Analysis!$F$1</c:f>
              <c:strCache>
                <c:ptCount val="1"/>
                <c:pt idx="0">
                  <c:v>BB/K Ratio</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Analysis!$A$2:$A$16</c:f>
              <c:str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strCache>
            </c:strRef>
          </c:cat>
          <c:val>
            <c:numRef>
              <c:f>Analysis!$F$2:$F$16</c:f>
              <c:numCache>
                <c:formatCode>General</c:formatCode>
                <c:ptCount val="15"/>
                <c:pt idx="0">
                  <c:v>0.45</c:v>
                </c:pt>
                <c:pt idx="1">
                  <c:v>0.19</c:v>
                </c:pt>
                <c:pt idx="2">
                  <c:v>0.24</c:v>
                </c:pt>
                <c:pt idx="3">
                  <c:v>0.95</c:v>
                </c:pt>
                <c:pt idx="4">
                  <c:v>0.38</c:v>
                </c:pt>
                <c:pt idx="5">
                  <c:v>0.47</c:v>
                </c:pt>
                <c:pt idx="6">
                  <c:v>0.37</c:v>
                </c:pt>
                <c:pt idx="7">
                  <c:v>0.7</c:v>
                </c:pt>
                <c:pt idx="8">
                  <c:v>0.24</c:v>
                </c:pt>
                <c:pt idx="9">
                  <c:v>0.34</c:v>
                </c:pt>
                <c:pt idx="10">
                  <c:v>0.43</c:v>
                </c:pt>
                <c:pt idx="11">
                  <c:v>0.39</c:v>
                </c:pt>
                <c:pt idx="12">
                  <c:v>0.48</c:v>
                </c:pt>
                <c:pt idx="13">
                  <c:v>0.61</c:v>
                </c:pt>
                <c:pt idx="14">
                  <c:v>0.15</c:v>
                </c:pt>
              </c:numCache>
            </c:numRef>
          </c:val>
          <c:extLst>
            <c:ext xmlns:c16="http://schemas.microsoft.com/office/drawing/2014/chart" uri="{C3380CC4-5D6E-409C-BE32-E72D297353CC}">
              <c16:uniqueId val="{00000000-6D8E-4AD0-BB13-23F1C0D92D86}"/>
            </c:ext>
          </c:extLst>
        </c:ser>
        <c:dLbls>
          <c:dLblPos val="outEnd"/>
          <c:showLegendKey val="0"/>
          <c:showVal val="1"/>
          <c:showCatName val="0"/>
          <c:showSerName val="0"/>
          <c:showPercent val="0"/>
          <c:showBubbleSize val="0"/>
        </c:dLbls>
        <c:gapWidth val="227"/>
        <c:overlap val="-48"/>
        <c:axId val="196911648"/>
        <c:axId val="300958000"/>
      </c:barChart>
      <c:catAx>
        <c:axId val="196911648"/>
        <c:scaling>
          <c:orientation val="maxMin"/>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958000"/>
        <c:crosses val="autoZero"/>
        <c:auto val="1"/>
        <c:lblAlgn val="ctr"/>
        <c:lblOffset val="100"/>
        <c:noMultiLvlLbl val="0"/>
      </c:catAx>
      <c:valAx>
        <c:axId val="300958000"/>
        <c:scaling>
          <c:orientation val="minMax"/>
        </c:scaling>
        <c:delete val="0"/>
        <c:axPos val="t"/>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BB/K Ratio</a:t>
                </a:r>
              </a:p>
            </c:rich>
          </c:tx>
          <c:layout>
            <c:manualLayout>
              <c:xMode val="edge"/>
              <c:yMode val="edge"/>
              <c:x val="0.4697944732287902"/>
              <c:y val="0.923581178988004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b="1">
                <a:latin typeface="Agency FB" panose="020B0503020202020204" pitchFamily="34" charset="0"/>
                <a:cs typeface="Aparajita" panose="020B0502040204020203" pitchFamily="18" charset="0"/>
              </a:rPr>
              <a:t>Detroit Tigers: Quality of Contact</a:t>
            </a:r>
          </a:p>
        </c:rich>
      </c:tx>
      <c:layout>
        <c:manualLayout>
          <c:xMode val="edge"/>
          <c:yMode val="edge"/>
          <c:x val="0.1968500147490839"/>
          <c:y val="2.4469307859546013E-2"/>
        </c:manualLayout>
      </c:layout>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Analysis!$K$1</c:f>
              <c:strCache>
                <c:ptCount val="1"/>
                <c:pt idx="0">
                  <c:v>Barrel %</c:v>
                </c:pt>
              </c:strCache>
            </c:strRef>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layout>
                <c:manualLayout>
                  <c:x val="-0.16549645485010253"/>
                  <c:y val="-8.9207193892889558E-3"/>
                </c:manualLayout>
              </c:layout>
              <c:tx>
                <c:rich>
                  <a:bodyPr/>
                  <a:lstStyle/>
                  <a:p>
                    <a:fld id="{8265C778-C907-4378-9AEB-6AF6475C6FB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3FD-4B19-8F71-9DD1933474AB}"/>
                </c:ext>
              </c:extLst>
            </c:dLbl>
            <c:dLbl>
              <c:idx val="1"/>
              <c:layout>
                <c:manualLayout>
                  <c:x val="-5.1908761863535033E-2"/>
                  <c:y val="4.4603596946444779E-2"/>
                </c:manualLayout>
              </c:layout>
              <c:tx>
                <c:rich>
                  <a:bodyPr/>
                  <a:lstStyle/>
                  <a:p>
                    <a:fld id="{DF0E2FBC-8A71-47F8-9895-3E623D85BFE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3FD-4B19-8F71-9DD1933474AB}"/>
                </c:ext>
              </c:extLst>
            </c:dLbl>
            <c:dLbl>
              <c:idx val="2"/>
              <c:layout>
                <c:manualLayout>
                  <c:x val="-0.15412346043789488"/>
                  <c:y val="-2.9735731297629905E-2"/>
                </c:manualLayout>
              </c:layout>
              <c:tx>
                <c:rich>
                  <a:bodyPr/>
                  <a:lstStyle/>
                  <a:p>
                    <a:fld id="{AD9CAF4B-6212-4E5F-BCA9-F3AA2DBF5A9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3FD-4B19-8F71-9DD1933474AB}"/>
                </c:ext>
              </c:extLst>
            </c:dLbl>
            <c:dLbl>
              <c:idx val="3"/>
              <c:delete val="1"/>
              <c:extLst>
                <c:ext xmlns:c15="http://schemas.microsoft.com/office/drawing/2012/chart" uri="{CE6537A1-D6FC-4f65-9D91-7224C49458BB}"/>
                <c:ext xmlns:c16="http://schemas.microsoft.com/office/drawing/2014/chart" uri="{C3380CC4-5D6E-409C-BE32-E72D297353CC}">
                  <c16:uniqueId val="{00000003-63FD-4B19-8F71-9DD1933474AB}"/>
                </c:ext>
              </c:extLst>
            </c:dLbl>
            <c:dLbl>
              <c:idx val="4"/>
              <c:delete val="1"/>
              <c:extLst>
                <c:ext xmlns:c15="http://schemas.microsoft.com/office/drawing/2012/chart" uri="{CE6537A1-D6FC-4f65-9D91-7224C49458BB}"/>
                <c:ext xmlns:c16="http://schemas.microsoft.com/office/drawing/2014/chart" uri="{C3380CC4-5D6E-409C-BE32-E72D297353CC}">
                  <c16:uniqueId val="{00000004-63FD-4B19-8F71-9DD1933474AB}"/>
                </c:ext>
              </c:extLst>
            </c:dLbl>
            <c:dLbl>
              <c:idx val="5"/>
              <c:delete val="1"/>
              <c:extLst>
                <c:ext xmlns:c15="http://schemas.microsoft.com/office/drawing/2012/chart" uri="{CE6537A1-D6FC-4f65-9D91-7224C49458BB}"/>
                <c:ext xmlns:c16="http://schemas.microsoft.com/office/drawing/2014/chart" uri="{C3380CC4-5D6E-409C-BE32-E72D297353CC}">
                  <c16:uniqueId val="{00000005-63FD-4B19-8F71-9DD1933474AB}"/>
                </c:ext>
              </c:extLst>
            </c:dLbl>
            <c:dLbl>
              <c:idx val="6"/>
              <c:layout>
                <c:manualLayout>
                  <c:x val="-0.16840502285211276"/>
                  <c:y val="-5.649788946549672E-2"/>
                </c:manualLayout>
              </c:layout>
              <c:tx>
                <c:rich>
                  <a:bodyPr/>
                  <a:lstStyle/>
                  <a:p>
                    <a:fld id="{EE9BCB22-4936-43F5-A116-3FBA753D3C9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3FD-4B19-8F71-9DD1933474AB}"/>
                </c:ext>
              </c:extLst>
            </c:dLbl>
            <c:dLbl>
              <c:idx val="7"/>
              <c:delete val="1"/>
              <c:extLst>
                <c:ext xmlns:c15="http://schemas.microsoft.com/office/drawing/2012/chart" uri="{CE6537A1-D6FC-4f65-9D91-7224C49458BB}"/>
                <c:ext xmlns:c16="http://schemas.microsoft.com/office/drawing/2014/chart" uri="{C3380CC4-5D6E-409C-BE32-E72D297353CC}">
                  <c16:uniqueId val="{00000007-63FD-4B19-8F71-9DD1933474AB}"/>
                </c:ext>
              </c:extLst>
            </c:dLbl>
            <c:dLbl>
              <c:idx val="8"/>
              <c:layout>
                <c:manualLayout>
                  <c:x val="2.9321152421285284E-2"/>
                  <c:y val="1.7841438778577856E-2"/>
                </c:manualLayout>
              </c:layout>
              <c:tx>
                <c:rich>
                  <a:bodyPr/>
                  <a:lstStyle/>
                  <a:p>
                    <a:fld id="{751270A7-FE50-4F0C-BEF1-7E49845E1E7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3FD-4B19-8F71-9DD1933474AB}"/>
                </c:ext>
              </c:extLst>
            </c:dLbl>
            <c:dLbl>
              <c:idx val="9"/>
              <c:delete val="1"/>
              <c:extLst>
                <c:ext xmlns:c15="http://schemas.microsoft.com/office/drawing/2012/chart" uri="{CE6537A1-D6FC-4f65-9D91-7224C49458BB}"/>
                <c:ext xmlns:c16="http://schemas.microsoft.com/office/drawing/2014/chart" uri="{C3380CC4-5D6E-409C-BE32-E72D297353CC}">
                  <c16:uniqueId val="{00000009-63FD-4B19-8F71-9DD1933474AB}"/>
                </c:ext>
              </c:extLst>
            </c:dLbl>
            <c:dLbl>
              <c:idx val="10"/>
              <c:layout>
                <c:manualLayout>
                  <c:x val="-2.3908674125873223E-2"/>
                  <c:y val="-4.1630023816681794E-2"/>
                </c:manualLayout>
              </c:layout>
              <c:tx>
                <c:rich>
                  <a:bodyPr/>
                  <a:lstStyle/>
                  <a:p>
                    <a:fld id="{8FFC0B14-7343-484F-B871-61613E4BD33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3FD-4B19-8F71-9DD1933474AB}"/>
                </c:ext>
              </c:extLst>
            </c:dLbl>
            <c:dLbl>
              <c:idx val="11"/>
              <c:delete val="1"/>
              <c:extLst>
                <c:ext xmlns:c15="http://schemas.microsoft.com/office/drawing/2012/chart" uri="{CE6537A1-D6FC-4f65-9D91-7224C49458BB}"/>
                <c:ext xmlns:c16="http://schemas.microsoft.com/office/drawing/2014/chart" uri="{C3380CC4-5D6E-409C-BE32-E72D297353CC}">
                  <c16:uniqueId val="{0000000B-63FD-4B19-8F71-9DD1933474AB}"/>
                </c:ext>
              </c:extLst>
            </c:dLbl>
            <c:dLbl>
              <c:idx val="12"/>
              <c:delete val="1"/>
              <c:extLst>
                <c:ext xmlns:c15="http://schemas.microsoft.com/office/drawing/2012/chart" uri="{CE6537A1-D6FC-4f65-9D91-7224C49458BB}"/>
                <c:ext xmlns:c16="http://schemas.microsoft.com/office/drawing/2014/chart" uri="{C3380CC4-5D6E-409C-BE32-E72D297353CC}">
                  <c16:uniqueId val="{0000000C-63FD-4B19-8F71-9DD1933474AB}"/>
                </c:ext>
              </c:extLst>
            </c:dLbl>
            <c:dLbl>
              <c:idx val="13"/>
              <c:layout>
                <c:manualLayout>
                  <c:x val="-5.8186681874528065E-2"/>
                  <c:y val="-5.3524316335733735E-2"/>
                </c:manualLayout>
              </c:layout>
              <c:tx>
                <c:rich>
                  <a:bodyPr/>
                  <a:lstStyle/>
                  <a:p>
                    <a:fld id="{69D9C03B-2E53-4895-B1E2-EA2619D9F62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3FD-4B19-8F71-9DD1933474AB}"/>
                </c:ext>
              </c:extLst>
            </c:dLbl>
            <c:dLbl>
              <c:idx val="14"/>
              <c:delete val="1"/>
              <c:extLst>
                <c:ext xmlns:c15="http://schemas.microsoft.com/office/drawing/2012/chart" uri="{CE6537A1-D6FC-4f65-9D91-7224C49458BB}"/>
                <c:ext xmlns:c16="http://schemas.microsoft.com/office/drawing/2014/chart" uri="{C3380CC4-5D6E-409C-BE32-E72D297353CC}">
                  <c16:uniqueId val="{0000000E-63FD-4B19-8F71-9DD1933474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Analysis!$J$2:$J$16</c:f>
              <c:numCache>
                <c:formatCode>0.00%</c:formatCode>
                <c:ptCount val="15"/>
                <c:pt idx="0">
                  <c:v>0.46</c:v>
                </c:pt>
                <c:pt idx="1">
                  <c:v>0.495</c:v>
                </c:pt>
                <c:pt idx="2">
                  <c:v>0.434</c:v>
                </c:pt>
                <c:pt idx="3">
                  <c:v>0.376</c:v>
                </c:pt>
                <c:pt idx="4">
                  <c:v>0.42099999999999999</c:v>
                </c:pt>
                <c:pt idx="5">
                  <c:v>0.42399999999999999</c:v>
                </c:pt>
                <c:pt idx="6">
                  <c:v>0.42</c:v>
                </c:pt>
                <c:pt idx="7">
                  <c:v>0.32300000000000001</c:v>
                </c:pt>
                <c:pt idx="8">
                  <c:v>0.44</c:v>
                </c:pt>
                <c:pt idx="9">
                  <c:v>0.41299999999999998</c:v>
                </c:pt>
                <c:pt idx="10">
                  <c:v>0.38</c:v>
                </c:pt>
                <c:pt idx="11">
                  <c:v>0.372</c:v>
                </c:pt>
                <c:pt idx="12">
                  <c:v>0.33300000000000002</c:v>
                </c:pt>
                <c:pt idx="13">
                  <c:v>0.22500000000000001</c:v>
                </c:pt>
                <c:pt idx="14">
                  <c:v>0.34699999999999998</c:v>
                </c:pt>
              </c:numCache>
            </c:numRef>
          </c:xVal>
          <c:yVal>
            <c:numRef>
              <c:f>Analysis!$K$2:$K$16</c:f>
              <c:numCache>
                <c:formatCode>0.00%</c:formatCode>
                <c:ptCount val="15"/>
                <c:pt idx="0">
                  <c:v>0.14799999999999999</c:v>
                </c:pt>
                <c:pt idx="1">
                  <c:v>0.155</c:v>
                </c:pt>
                <c:pt idx="2">
                  <c:v>0.10100000000000001</c:v>
                </c:pt>
                <c:pt idx="3">
                  <c:v>7.2999999999999995E-2</c:v>
                </c:pt>
                <c:pt idx="4">
                  <c:v>7.5999999999999998E-2</c:v>
                </c:pt>
                <c:pt idx="5">
                  <c:v>7.0999999999999994E-2</c:v>
                </c:pt>
                <c:pt idx="6">
                  <c:v>0.122</c:v>
                </c:pt>
                <c:pt idx="7">
                  <c:v>6.0999999999999999E-2</c:v>
                </c:pt>
                <c:pt idx="8">
                  <c:v>9.6000000000000002E-2</c:v>
                </c:pt>
                <c:pt idx="9">
                  <c:v>8.5000000000000006E-2</c:v>
                </c:pt>
                <c:pt idx="10">
                  <c:v>2.1000000000000001E-2</c:v>
                </c:pt>
                <c:pt idx="11">
                  <c:v>0.05</c:v>
                </c:pt>
                <c:pt idx="12">
                  <c:v>7.5999999999999998E-2</c:v>
                </c:pt>
                <c:pt idx="13">
                  <c:v>0.02</c:v>
                </c:pt>
                <c:pt idx="14">
                  <c:v>2.7E-2</c:v>
                </c:pt>
              </c:numCache>
            </c:numRef>
          </c:yVal>
          <c:smooth val="0"/>
          <c:extLst>
            <c:ext xmlns:c15="http://schemas.microsoft.com/office/drawing/2012/chart" uri="{02D57815-91ED-43cb-92C2-25804820EDAC}">
              <c15:datalabelsRange>
                <c15:f>Analysis!$A$2:$A$16</c15:f>
                <c15:dlblRangeCache>
                  <c:ptCount val="15"/>
                  <c:pt idx="0">
                    <c:v>Riley Greene</c:v>
                  </c:pt>
                  <c:pt idx="1">
                    <c:v>Eduardo Valencia</c:v>
                  </c:pt>
                  <c:pt idx="2">
                    <c:v>Dillon Dingler</c:v>
                  </c:pt>
                  <c:pt idx="3">
                    <c:v>Kevin McGonigle</c:v>
                  </c:pt>
                  <c:pt idx="4">
                    <c:v>Colt Keith</c:v>
                  </c:pt>
                  <c:pt idx="5">
                    <c:v>Ben Malgeri</c:v>
                  </c:pt>
                  <c:pt idx="6">
                    <c:v>Spencer Torkelson</c:v>
                  </c:pt>
                  <c:pt idx="7">
                    <c:v>Gleyber Torres</c:v>
                  </c:pt>
                  <c:pt idx="8">
                    <c:v>Kerry Carpenter</c:v>
                  </c:pt>
                  <c:pt idx="9">
                    <c:v>Hao-Yu Lee</c:v>
                  </c:pt>
                  <c:pt idx="10">
                    <c:v>Max Clark</c:v>
                  </c:pt>
                  <c:pt idx="11">
                    <c:v>Matt Vierling</c:v>
                  </c:pt>
                  <c:pt idx="12">
                    <c:v>Wenceel Pérez</c:v>
                  </c:pt>
                  <c:pt idx="13">
                    <c:v>Zach McKinstry</c:v>
                  </c:pt>
                  <c:pt idx="14">
                    <c:v>Javier Báez</c:v>
                  </c:pt>
                </c15:dlblRangeCache>
              </c15:datalabelsRange>
            </c:ext>
            <c:ext xmlns:c16="http://schemas.microsoft.com/office/drawing/2014/chart" uri="{C3380CC4-5D6E-409C-BE32-E72D297353CC}">
              <c16:uniqueId val="{0000000F-63FD-4B19-8F71-9DD1933474AB}"/>
            </c:ext>
          </c:extLst>
        </c:ser>
        <c:dLbls>
          <c:showLegendKey val="0"/>
          <c:showVal val="1"/>
          <c:showCatName val="0"/>
          <c:showSerName val="0"/>
          <c:showPercent val="0"/>
          <c:showBubbleSize val="0"/>
        </c:dLbls>
        <c:axId val="263520240"/>
        <c:axId val="301117840"/>
      </c:scatterChart>
      <c:valAx>
        <c:axId val="263520240"/>
        <c:scaling>
          <c:orientation val="minMax"/>
          <c:max val="0.55000000000000004"/>
          <c:min val="0.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Hard-Hit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17840"/>
        <c:crosses val="autoZero"/>
        <c:crossBetween val="midCat"/>
      </c:valAx>
      <c:valAx>
        <c:axId val="301117840"/>
        <c:scaling>
          <c:orientation val="minMax"/>
          <c:max val="0.1600000000000000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Barrel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20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20</xdr:col>
      <xdr:colOff>156716</xdr:colOff>
      <xdr:row>22</xdr:row>
      <xdr:rowOff>50882</xdr:rowOff>
    </xdr:from>
    <xdr:to>
      <xdr:col>34</xdr:col>
      <xdr:colOff>251353</xdr:colOff>
      <xdr:row>46</xdr:row>
      <xdr:rowOff>13230</xdr:rowOff>
    </xdr:to>
    <xdr:graphicFrame macro="">
      <xdr:nvGraphicFramePr>
        <xdr:cNvPr id="5" name="Chart 4">
          <a:extLst>
            <a:ext uri="{FF2B5EF4-FFF2-40B4-BE49-F238E27FC236}">
              <a16:creationId xmlns:a16="http://schemas.microsoft.com/office/drawing/2014/main" id="{2D0505D9-E0E5-B49F-2C3E-76170E11C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292725</xdr:colOff>
      <xdr:row>21</xdr:row>
      <xdr:rowOff>164829</xdr:rowOff>
    </xdr:from>
    <xdr:to>
      <xdr:col>6</xdr:col>
      <xdr:colOff>1530054</xdr:colOff>
      <xdr:row>44</xdr:row>
      <xdr:rowOff>135011</xdr:rowOff>
    </xdr:to>
    <xdr:graphicFrame macro="">
      <xdr:nvGraphicFramePr>
        <xdr:cNvPr id="6" name="Chart 5">
          <a:extLst>
            <a:ext uri="{FF2B5EF4-FFF2-40B4-BE49-F238E27FC236}">
              <a16:creationId xmlns:a16="http://schemas.microsoft.com/office/drawing/2014/main" id="{B80EC36C-2B0A-41A9-AA4B-0A5D5AD70F8D}"/>
            </a:ext>
            <a:ext uri="{147F2762-F138-4A5C-976F-8EAC2B608ADB}">
              <a16:predDERef xmlns:a16="http://schemas.microsoft.com/office/drawing/2014/main" pred="{2D0505D9-E0E5-B49F-2C3E-76170E11C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105834</xdr:colOff>
      <xdr:row>21</xdr:row>
      <xdr:rowOff>84314</xdr:rowOff>
    </xdr:from>
    <xdr:to>
      <xdr:col>14</xdr:col>
      <xdr:colOff>743086</xdr:colOff>
      <xdr:row>44</xdr:row>
      <xdr:rowOff>158750</xdr:rowOff>
    </xdr:to>
    <xdr:graphicFrame macro="">
      <xdr:nvGraphicFramePr>
        <xdr:cNvPr id="7" name="Chart 6">
          <a:extLst>
            <a:ext uri="{FF2B5EF4-FFF2-40B4-BE49-F238E27FC236}">
              <a16:creationId xmlns:a16="http://schemas.microsoft.com/office/drawing/2014/main" id="{71D035BB-9B7F-6229-7A7C-3802582D56EC}"/>
            </a:ext>
            <a:ext uri="{147F2762-F138-4A5C-976F-8EAC2B608ADB}">
              <a16:predDERef xmlns:a16="http://schemas.microsoft.com/office/drawing/2014/main" pred="{B80EC36C-2B0A-41A9-AA4B-0A5D5AD70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210771</xdr:colOff>
      <xdr:row>20</xdr:row>
      <xdr:rowOff>173182</xdr:rowOff>
    </xdr:from>
    <xdr:to>
      <xdr:col>58</xdr:col>
      <xdr:colOff>309893</xdr:colOff>
      <xdr:row>50</xdr:row>
      <xdr:rowOff>146526</xdr:rowOff>
    </xdr:to>
    <xdr:graphicFrame macro="">
      <xdr:nvGraphicFramePr>
        <xdr:cNvPr id="8" name="Chart 7">
          <a:extLst>
            <a:ext uri="{FF2B5EF4-FFF2-40B4-BE49-F238E27FC236}">
              <a16:creationId xmlns:a16="http://schemas.microsoft.com/office/drawing/2014/main" id="{264B1E7E-2055-37F8-B42C-7519B0086345}"/>
            </a:ext>
            <a:ext uri="{147F2762-F138-4A5C-976F-8EAC2B608ADB}">
              <a16:predDERef xmlns:a16="http://schemas.microsoft.com/office/drawing/2014/main" pred="{71D035BB-9B7F-6229-7A7C-3802582D5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227948</xdr:colOff>
      <xdr:row>52</xdr:row>
      <xdr:rowOff>17638</xdr:rowOff>
    </xdr:from>
    <xdr:to>
      <xdr:col>26</xdr:col>
      <xdr:colOff>264583</xdr:colOff>
      <xdr:row>76</xdr:row>
      <xdr:rowOff>16281</xdr:rowOff>
    </xdr:to>
    <xdr:graphicFrame macro="">
      <xdr:nvGraphicFramePr>
        <xdr:cNvPr id="3" name="Chart 2">
          <a:extLst>
            <a:ext uri="{FF2B5EF4-FFF2-40B4-BE49-F238E27FC236}">
              <a16:creationId xmlns:a16="http://schemas.microsoft.com/office/drawing/2014/main" id="{199C2733-55D6-489F-8369-9016DEAA53F5}"/>
            </a:ext>
            <a:ext uri="{147F2762-F138-4A5C-976F-8EAC2B608ADB}">
              <a16:predDERef xmlns:a16="http://schemas.microsoft.com/office/drawing/2014/main" pred="{71D035BB-9B7F-6229-7A7C-3802582D5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577273</xdr:colOff>
      <xdr:row>18</xdr:row>
      <xdr:rowOff>0</xdr:rowOff>
    </xdr:from>
    <xdr:to>
      <xdr:col>14</xdr:col>
      <xdr:colOff>141111</xdr:colOff>
      <xdr:row>50</xdr:row>
      <xdr:rowOff>158750</xdr:rowOff>
    </xdr:to>
    <xdr:graphicFrame macro="">
      <xdr:nvGraphicFramePr>
        <xdr:cNvPr id="4" name="Chart 3">
          <a:extLst>
            <a:ext uri="{FF2B5EF4-FFF2-40B4-BE49-F238E27FC236}">
              <a16:creationId xmlns:a16="http://schemas.microsoft.com/office/drawing/2014/main" id="{CC8148E2-F1D6-4900-97C2-307E59EB1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527308</xdr:colOff>
      <xdr:row>52</xdr:row>
      <xdr:rowOff>105835</xdr:rowOff>
    </xdr:from>
    <xdr:to>
      <xdr:col>13</xdr:col>
      <xdr:colOff>529166</xdr:colOff>
      <xdr:row>75</xdr:row>
      <xdr:rowOff>156000</xdr:rowOff>
    </xdr:to>
    <xdr:graphicFrame macro="">
      <xdr:nvGraphicFramePr>
        <xdr:cNvPr id="5" name="Chart 4">
          <a:extLst>
            <a:ext uri="{FF2B5EF4-FFF2-40B4-BE49-F238E27FC236}">
              <a16:creationId xmlns:a16="http://schemas.microsoft.com/office/drawing/2014/main" id="{95E548CB-CCE1-40FA-8CBF-CAAA96BA0317}"/>
            </a:ext>
            <a:ext uri="{147F2762-F138-4A5C-976F-8EAC2B608ADB}">
              <a16:predDERef xmlns:a16="http://schemas.microsoft.com/office/drawing/2014/main" pred="{B80EC36C-2B0A-41A9-AA4B-0A5D5AD70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352779</xdr:colOff>
      <xdr:row>18</xdr:row>
      <xdr:rowOff>52918</xdr:rowOff>
    </xdr:from>
    <xdr:to>
      <xdr:col>25</xdr:col>
      <xdr:colOff>407971</xdr:colOff>
      <xdr:row>50</xdr:row>
      <xdr:rowOff>70556</xdr:rowOff>
    </xdr:to>
    <xdr:graphicFrame macro="">
      <xdr:nvGraphicFramePr>
        <xdr:cNvPr id="6" name="Chart 5">
          <a:extLst>
            <a:ext uri="{FF2B5EF4-FFF2-40B4-BE49-F238E27FC236}">
              <a16:creationId xmlns:a16="http://schemas.microsoft.com/office/drawing/2014/main" id="{8A7F06A7-CE4B-4997-A7F3-63BCB8E4263A}"/>
            </a:ext>
            <a:ext uri="{147F2762-F138-4A5C-976F-8EAC2B608ADB}">
              <a16:predDERef xmlns:a16="http://schemas.microsoft.com/office/drawing/2014/main" pred="{2D0505D9-E0E5-B49F-2C3E-76170E11C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299862</xdr:colOff>
      <xdr:row>3</xdr:row>
      <xdr:rowOff>52916</xdr:rowOff>
    </xdr:from>
    <xdr:ext cx="12717638" cy="2229778"/>
    <xdr:sp macro="" textlink="">
      <xdr:nvSpPr>
        <xdr:cNvPr id="7" name="TextBox 6">
          <a:extLst>
            <a:ext uri="{FF2B5EF4-FFF2-40B4-BE49-F238E27FC236}">
              <a16:creationId xmlns:a16="http://schemas.microsoft.com/office/drawing/2014/main" id="{76F8260A-364B-C00F-00B5-226622551684}"/>
            </a:ext>
          </a:extLst>
        </xdr:cNvPr>
        <xdr:cNvSpPr txBox="1"/>
      </xdr:nvSpPr>
      <xdr:spPr>
        <a:xfrm>
          <a:off x="3386668" y="582083"/>
          <a:ext cx="12717638" cy="22297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6000" b="1">
              <a:latin typeface="Bell MT" panose="02020503060305020303" pitchFamily="18" charset="0"/>
            </a:rPr>
            <a:t>Detroit Tigers Hitter Analysis</a:t>
          </a:r>
        </a:p>
        <a:p>
          <a:pPr algn="ctr"/>
          <a:r>
            <a:rPr lang="en-US" sz="4400">
              <a:latin typeface="Bell MT" panose="02020503060305020303" pitchFamily="18" charset="0"/>
            </a:rPr>
            <a:t>Evaluating offensive sustainability using Statcast and plate-discipline metrics</a:t>
          </a:r>
          <a:endParaRPr lang="en-US" sz="4400" b="1">
            <a:latin typeface="Bell MT" panose="02020503060305020303" pitchFamily="18" charset="0"/>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2C2636-8C6A-48A1-B973-2F775113D5FD}" name="Table1" displayName="Table1" ref="A1:T21" totalsRowShown="0">
  <autoFilter ref="A1:T21" xr:uid="{432C2636-8C6A-48A1-B973-2F775113D5FD}"/>
  <sortState xmlns:xlrd2="http://schemas.microsoft.com/office/spreadsheetml/2017/richdata2" ref="A2:T21">
    <sortCondition ref="A1:A21"/>
  </sortState>
  <tableColumns count="20">
    <tableColumn id="1" xr3:uid="{139C44E0-6215-47BC-AFF8-EAE8BE638465}" name="Player Name"/>
    <tableColumn id="2" xr3:uid="{FC5D36D0-1238-4707-B72C-266179070A56}" name="Age"/>
    <tableColumn id="3" xr3:uid="{F21562D6-DBDD-4403-9B65-78CF06AC244E}" name="PA"/>
    <tableColumn id="4" xr3:uid="{7C86CE68-DAE4-4A9D-9C33-6AAAC544E935}" name="AVG"/>
    <tableColumn id="5" xr3:uid="{E51FC9A8-6CF4-4558-B86D-BD15C0E9B05C}" name="OBP"/>
    <tableColumn id="6" xr3:uid="{CF4B4567-9409-4F98-87AF-7C3D0D8AEC91}" name="SLG"/>
    <tableColumn id="7" xr3:uid="{8199CAD6-4D0C-49AD-8EFE-C78280FC0B03}" name="OPS"/>
    <tableColumn id="8" xr3:uid="{06BF5AE6-33C6-4696-A645-B9FFA34B5293}" name="HR"/>
    <tableColumn id="9" xr3:uid="{A4BA8B36-913A-4DD2-ADC9-B402BEC00C59}" name="BB%" dataDxfId="10"/>
    <tableColumn id="10" xr3:uid="{A5B26BE3-7793-43FD-BF7C-7D4A80306569}" name="K%" dataDxfId="9"/>
    <tableColumn id="11" xr3:uid="{BE726F9C-F645-4CE9-B675-D7FC851D8BAF}" name="Exit Velocity"/>
    <tableColumn id="12" xr3:uid="{E9DD5106-EBA7-4848-BDB0-84009C239F2F}" name="Hard-Hit %" dataDxfId="8"/>
    <tableColumn id="13" xr3:uid="{7804938A-A532-49DA-BE7F-A443C7BDAEAA}" name="Barrel %" dataDxfId="7"/>
    <tableColumn id="14" xr3:uid="{D924E825-C4DE-49E1-B40B-254CA2BC01DA}" name="wOBA"/>
    <tableColumn id="15" xr3:uid="{8EB52CD4-E443-43CD-9AEF-F9BC90169CD9}" name="xwOBA"/>
    <tableColumn id="16" xr3:uid="{27D58F69-F286-4664-8B3D-694EFB9AB463}" name="xBA"/>
    <tableColumn id="17" xr3:uid="{F2CAAD66-B176-4C3C-AB27-E2B175DA8E48}" name="xSLG"/>
    <tableColumn id="18" xr3:uid="{22CC2525-EC2F-499B-B2DD-6B840D611028}" name="xwOBA Gap" dataDxfId="6">
      <calculatedColumnFormula>O2-N2</calculatedColumnFormula>
    </tableColumn>
    <tableColumn id="19" xr3:uid="{7196FD02-32B4-41FC-849A-34ABA83A3F6C}" name="xSLG Gap" dataDxfId="5">
      <calculatedColumnFormula>Q2-F2</calculatedColumnFormula>
    </tableColumn>
    <tableColumn id="20" xr3:uid="{EFFC74A5-1CA7-4BE4-BA01-CD65A3F74A43}" name="Sample Size" dataDxfId="4">
      <calculatedColumnFormula>IF(C2&gt;=500,"Large Sample",IF(C2&gt;=250,"Medium Sample",IF(C2&gt;=100,"Small Sample","Very Small Sample")))</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242281-5C39-4D24-A22D-9754F87AA821}" name="Table2" displayName="Table2" ref="A1:Q16" totalsRowShown="0">
  <autoFilter ref="A1:Q16" xr:uid="{A2242281-5C39-4D24-A22D-9754F87AA821}"/>
  <sortState xmlns:xlrd2="http://schemas.microsoft.com/office/spreadsheetml/2017/richdata2" ref="A2:Q16">
    <sortCondition ref="Q1:Q16"/>
  </sortState>
  <tableColumns count="17">
    <tableColumn id="1" xr3:uid="{6CDC8703-C955-4AB0-9BA5-3610663A4F5F}" name="Player Name"/>
    <tableColumn id="2" xr3:uid="{2C7F9889-8979-46E9-8D66-F22B9B263C09}" name="PA"/>
    <tableColumn id="3" xr3:uid="{F26CA1CE-44C6-42F0-AE51-BA9D7E53D311}" name="xwOBA Gap"/>
    <tableColumn id="4" xr3:uid="{8D672A03-345C-4FAB-9E4B-7A6864E6682A}" name="xSLG Gap"/>
    <tableColumn id="5" xr3:uid="{D9400689-83F8-4C87-B697-F1CC089E1820}" name="AVG Gap"/>
    <tableColumn id="6" xr3:uid="{3679E303-693A-4761-9271-D1AF50404DEA}" name="BB/K Ratio"/>
    <tableColumn id="7" xr3:uid="{6FE4D536-98E6-4BF4-9E70-EB05BDEAD702}" name="Performance Category" dataDxfId="3">
      <calculatedColumnFormula>IF(C2&gt;=0.025,"Underperforming Expected Results",IF(C2&lt;=-0.025,"Outperforming Expected Results","Results Match Expectations"))</calculatedColumnFormula>
    </tableColumn>
    <tableColumn id="8" xr3:uid="{DCCAA894-FB7E-4A4A-B024-D8DE3E2ED0FE}" name="wOBA"/>
    <tableColumn id="9" xr3:uid="{156D0A3A-C2C1-403A-B306-CE219DEEFC1A}" name="xwOBA"/>
    <tableColumn id="10" xr3:uid="{9D75355D-F394-42D3-8493-1A4248B711C9}" name="Hard-Hit %" dataDxfId="2"/>
    <tableColumn id="11" xr3:uid="{F1C4E9E0-085B-4103-B7C0-4DF3A1F44BA2}" name="Barrel %"/>
    <tableColumn id="12" xr3:uid="{7F67D60E-F0A4-4CBA-A4FB-8F930AEC7CD4}" name="xwOBA Percentile" dataCellStyle="Percent">
      <calculatedColumnFormula>_xlfn.PERCENTRANK.INC($I$2:$I$16,I2)</calculatedColumnFormula>
    </tableColumn>
    <tableColumn id="13" xr3:uid="{688E302B-ACCC-44BD-A2C0-9D260D5E8D97}" name="Hard-Hit Percentile" dataCellStyle="Percent">
      <calculatedColumnFormula>_xlfn.PERCENTRANK.INC($J$2:$J$16,J2)</calculatedColumnFormula>
    </tableColumn>
    <tableColumn id="14" xr3:uid="{EC9938AF-B2E3-4C73-99D7-4064EC1BB5E2}" name="Barrel Percentile" dataCellStyle="Percent">
      <calculatedColumnFormula>_xlfn.PERCENTRANK.INC($K$2:$K$16,K2)</calculatedColumnFormula>
    </tableColumn>
    <tableColumn id="15" xr3:uid="{493369EC-CED1-4F2B-8347-C423252EDD27}" name="Discipline Percentile" dataCellStyle="Percent">
      <calculatedColumnFormula>_xlfn.PERCENTRANK.INC($F$2:$F$16,F2)</calculatedColumnFormula>
    </tableColumn>
    <tableColumn id="16" xr3:uid="{E1BF1AC3-189A-4B2A-80A4-D8C16CFB99A1}" name="Sustainability Score" dataDxfId="1">
      <calculatedColumnFormula>100*((L2*0.4)+(M2*0.25)+(N2*0.2)+(O2*0.15))</calculatedColumnFormula>
    </tableColumn>
    <tableColumn id="17" xr3:uid="{DD60E0A8-3D05-406D-A486-815FE05FA1E5}" name="Rank" dataDxfId="0">
      <calculatedColumnFormula>_xlfn.RANK.EQ(P2,$P$2:$P$16,0)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workbookViewId="0">
      <pane ySplit="1" topLeftCell="A2" activePane="bottomLeft" state="frozen"/>
      <selection pane="bottomLeft" activeCell="T2" sqref="T2"/>
    </sheetView>
  </sheetViews>
  <sheetFormatPr defaultRowHeight="14.5"/>
  <cols>
    <col min="1" max="1" width="16.1796875" bestFit="1" customWidth="1"/>
    <col min="2" max="2" width="6.1796875" bestFit="1" customWidth="1"/>
    <col min="3" max="3" width="5.453125" bestFit="1" customWidth="1"/>
    <col min="4" max="4" width="6.7265625" bestFit="1" customWidth="1"/>
    <col min="5" max="5" width="6.54296875" bestFit="1" customWidth="1"/>
    <col min="6" max="6" width="6.1796875" bestFit="1" customWidth="1"/>
    <col min="7" max="7" width="6.453125" bestFit="1" customWidth="1"/>
    <col min="8" max="8" width="5.453125" bestFit="1" customWidth="1"/>
    <col min="9" max="10" width="6.81640625" bestFit="1" customWidth="1"/>
    <col min="11" max="11" width="13.26953125" bestFit="1" customWidth="1"/>
    <col min="12" max="12" width="12.1796875" bestFit="1" customWidth="1"/>
    <col min="13" max="13" width="10" bestFit="1" customWidth="1"/>
    <col min="14" max="14" width="8.1796875" bestFit="1" customWidth="1"/>
    <col min="15" max="15" width="9.1796875" bestFit="1" customWidth="1"/>
    <col min="16" max="16" width="6.26953125" bestFit="1" customWidth="1"/>
    <col min="17" max="17" width="7" bestFit="1" customWidth="1"/>
    <col min="18" max="18" width="12.81640625" bestFit="1" customWidth="1"/>
    <col min="19" max="19" width="10.81640625" bestFit="1" customWidth="1"/>
    <col min="20" max="20" width="12.8164062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v>26</v>
      </c>
      <c r="C2">
        <v>140</v>
      </c>
      <c r="D2">
        <v>0.25</v>
      </c>
      <c r="E2">
        <v>0.35</v>
      </c>
      <c r="F2">
        <v>0.41699999999999998</v>
      </c>
      <c r="G2">
        <v>0.76700000000000002</v>
      </c>
      <c r="H2">
        <v>5</v>
      </c>
      <c r="I2" s="1">
        <v>0.121</v>
      </c>
      <c r="J2" s="1">
        <v>0.25700000000000001</v>
      </c>
      <c r="K2">
        <v>90.1</v>
      </c>
      <c r="L2" s="1">
        <v>0.42399999999999999</v>
      </c>
      <c r="M2" s="1">
        <v>7.0999999999999994E-2</v>
      </c>
      <c r="N2">
        <v>0.34100000000000003</v>
      </c>
      <c r="O2">
        <v>0.317</v>
      </c>
      <c r="P2">
        <v>0.24299999999999999</v>
      </c>
      <c r="Q2">
        <v>0.35399999999999998</v>
      </c>
      <c r="R2">
        <f t="shared" ref="R2:R21" si="0">O2-N2</f>
        <v>-2.4000000000000021E-2</v>
      </c>
      <c r="S2">
        <f t="shared" ref="S2:S21" si="1">Q2-F2</f>
        <v>-6.3E-2</v>
      </c>
      <c r="T2" s="2" t="str">
        <f t="shared" ref="T2:T21" si="2">IF(C2&gt;=500,"Large Sample",IF(C2&gt;=250,"Medium Sample",IF(C2&gt;=100,"Small Sample","Very Small Sample")))</f>
        <v>Small Sample</v>
      </c>
    </row>
    <row r="3" spans="1:20">
      <c r="A3" t="s">
        <v>21</v>
      </c>
      <c r="B3">
        <v>24</v>
      </c>
      <c r="C3">
        <v>80</v>
      </c>
      <c r="D3">
        <v>0.21099999999999999</v>
      </c>
      <c r="E3">
        <v>0.28699999999999998</v>
      </c>
      <c r="F3">
        <v>0.32400000000000001</v>
      </c>
      <c r="G3">
        <v>0.61099999999999999</v>
      </c>
      <c r="H3">
        <v>1</v>
      </c>
      <c r="I3" s="1">
        <v>8.7999999999999995E-2</v>
      </c>
      <c r="J3" s="1">
        <v>0.33800000000000002</v>
      </c>
      <c r="K3">
        <v>89.9</v>
      </c>
      <c r="L3" s="1">
        <v>0.44400000000000001</v>
      </c>
      <c r="M3" s="1">
        <v>0.111</v>
      </c>
      <c r="N3">
        <v>0.27400000000000002</v>
      </c>
      <c r="O3">
        <v>0.29599999999999999</v>
      </c>
      <c r="P3">
        <v>0.21099999999999999</v>
      </c>
      <c r="Q3">
        <v>0.375</v>
      </c>
      <c r="R3">
        <f t="shared" si="0"/>
        <v>2.1999999999999964E-2</v>
      </c>
      <c r="S3">
        <f t="shared" si="1"/>
        <v>5.099999999999999E-2</v>
      </c>
      <c r="T3" t="str">
        <f t="shared" si="2"/>
        <v>Very Small Sample</v>
      </c>
    </row>
    <row r="4" spans="1:20">
      <c r="A4" t="s">
        <v>22</v>
      </c>
      <c r="B4">
        <v>24</v>
      </c>
      <c r="C4">
        <v>423</v>
      </c>
      <c r="D4">
        <v>0.25800000000000001</v>
      </c>
      <c r="E4">
        <v>0.32200000000000001</v>
      </c>
      <c r="F4">
        <v>0.40600000000000003</v>
      </c>
      <c r="G4">
        <v>0.72799999999999998</v>
      </c>
      <c r="H4">
        <v>10</v>
      </c>
      <c r="I4" s="1">
        <v>7.5999999999999998E-2</v>
      </c>
      <c r="J4" s="1">
        <v>0.19900000000000001</v>
      </c>
      <c r="K4">
        <v>88.7</v>
      </c>
      <c r="L4" s="1">
        <v>0.42099999999999999</v>
      </c>
      <c r="M4" s="1">
        <v>7.5999999999999998E-2</v>
      </c>
      <c r="N4">
        <v>0.32100000000000001</v>
      </c>
      <c r="O4">
        <v>0.33300000000000002</v>
      </c>
      <c r="P4">
        <v>0.27200000000000002</v>
      </c>
      <c r="Q4">
        <v>0.42299999999999999</v>
      </c>
      <c r="R4">
        <f t="shared" si="0"/>
        <v>1.2000000000000011E-2</v>
      </c>
      <c r="S4">
        <f t="shared" si="1"/>
        <v>1.699999999999996E-2</v>
      </c>
      <c r="T4" t="str">
        <f t="shared" si="2"/>
        <v>Medium Sample</v>
      </c>
    </row>
    <row r="5" spans="1:20">
      <c r="A5" t="s">
        <v>23</v>
      </c>
      <c r="B5">
        <v>30</v>
      </c>
      <c r="C5">
        <v>7</v>
      </c>
      <c r="D5">
        <v>0.28599999999999998</v>
      </c>
      <c r="E5">
        <v>0.28599999999999998</v>
      </c>
      <c r="F5">
        <v>0.42899999999999999</v>
      </c>
      <c r="G5">
        <v>0.71499999999999997</v>
      </c>
      <c r="H5">
        <v>0</v>
      </c>
      <c r="I5" s="1">
        <v>0</v>
      </c>
      <c r="J5" s="1">
        <v>0.14299999999999999</v>
      </c>
      <c r="K5">
        <v>87.9</v>
      </c>
      <c r="L5" s="1">
        <v>0.33300000000000002</v>
      </c>
      <c r="M5" s="1">
        <v>0</v>
      </c>
      <c r="N5">
        <v>0.307</v>
      </c>
      <c r="O5">
        <v>0.188</v>
      </c>
      <c r="P5">
        <v>0.17199999999999999</v>
      </c>
      <c r="Q5">
        <v>0.27</v>
      </c>
      <c r="R5">
        <f t="shared" si="0"/>
        <v>-0.11899999999999999</v>
      </c>
      <c r="S5">
        <f t="shared" si="1"/>
        <v>-0.15899999999999997</v>
      </c>
      <c r="T5" t="str">
        <f t="shared" si="2"/>
        <v>Very Small Sample</v>
      </c>
    </row>
    <row r="6" spans="1:20">
      <c r="A6" t="s">
        <v>24</v>
      </c>
      <c r="B6">
        <v>27</v>
      </c>
      <c r="C6">
        <v>607</v>
      </c>
      <c r="D6">
        <v>0.24299999999999999</v>
      </c>
      <c r="E6">
        <v>0.30199999999999999</v>
      </c>
      <c r="F6">
        <v>0.44600000000000001</v>
      </c>
      <c r="G6">
        <v>0.748</v>
      </c>
      <c r="H6">
        <v>27</v>
      </c>
      <c r="I6" s="1">
        <v>5.6000000000000001E-2</v>
      </c>
      <c r="J6" s="1">
        <v>0.22900000000000001</v>
      </c>
      <c r="K6">
        <v>88.8</v>
      </c>
      <c r="L6" s="1">
        <v>0.434</v>
      </c>
      <c r="M6" s="1">
        <v>0.10100000000000001</v>
      </c>
      <c r="N6">
        <v>0.32500000000000001</v>
      </c>
      <c r="O6">
        <v>0.34399999999999997</v>
      </c>
      <c r="P6">
        <v>0.26600000000000001</v>
      </c>
      <c r="Q6">
        <v>0.46800000000000003</v>
      </c>
      <c r="R6">
        <f t="shared" si="0"/>
        <v>1.8999999999999961E-2</v>
      </c>
      <c r="S6" s="2">
        <f t="shared" si="1"/>
        <v>2.200000000000002E-2</v>
      </c>
      <c r="T6" t="str">
        <f t="shared" si="2"/>
        <v>Large Sample</v>
      </c>
    </row>
    <row r="7" spans="1:20">
      <c r="A7" t="s">
        <v>25</v>
      </c>
      <c r="B7">
        <v>26</v>
      </c>
      <c r="C7">
        <v>138</v>
      </c>
      <c r="D7">
        <v>0.34100000000000003</v>
      </c>
      <c r="E7">
        <v>0.38</v>
      </c>
      <c r="F7">
        <v>0.63600000000000001</v>
      </c>
      <c r="G7">
        <v>1.016</v>
      </c>
      <c r="H7">
        <v>8</v>
      </c>
      <c r="I7" s="1">
        <v>4.2999999999999997E-2</v>
      </c>
      <c r="J7" s="1">
        <v>0.23200000000000001</v>
      </c>
      <c r="K7">
        <v>90.3</v>
      </c>
      <c r="L7" s="1">
        <v>0.495</v>
      </c>
      <c r="M7" s="1">
        <v>0.155</v>
      </c>
      <c r="N7">
        <v>0.433</v>
      </c>
      <c r="O7">
        <v>0.372</v>
      </c>
      <c r="P7">
        <v>0.28499999999999998</v>
      </c>
      <c r="Q7">
        <v>0.54600000000000004</v>
      </c>
      <c r="R7">
        <f t="shared" si="0"/>
        <v>-6.0999999999999999E-2</v>
      </c>
      <c r="S7">
        <f t="shared" si="1"/>
        <v>-8.9999999999999969E-2</v>
      </c>
      <c r="T7" t="str">
        <f t="shared" si="2"/>
        <v>Small Sample</v>
      </c>
    </row>
    <row r="8" spans="1:20">
      <c r="A8" t="s">
        <v>26</v>
      </c>
      <c r="B8">
        <v>29</v>
      </c>
      <c r="C8">
        <v>420</v>
      </c>
      <c r="D8">
        <v>0.26</v>
      </c>
      <c r="E8">
        <v>0.36399999999999999</v>
      </c>
      <c r="F8">
        <v>0.36299999999999999</v>
      </c>
      <c r="G8">
        <v>0.72699999999999998</v>
      </c>
      <c r="H8">
        <v>8</v>
      </c>
      <c r="I8" s="1">
        <v>0.13600000000000001</v>
      </c>
      <c r="J8" s="1">
        <v>0.193</v>
      </c>
      <c r="K8">
        <v>86.2</v>
      </c>
      <c r="L8" s="1">
        <v>0.32300000000000001</v>
      </c>
      <c r="M8" s="1">
        <v>6.0999999999999999E-2</v>
      </c>
      <c r="N8">
        <v>0.32800000000000001</v>
      </c>
      <c r="O8">
        <v>0.32500000000000001</v>
      </c>
      <c r="P8">
        <v>0.252</v>
      </c>
      <c r="Q8">
        <v>0.36799999999999999</v>
      </c>
      <c r="R8">
        <f t="shared" si="0"/>
        <v>-3.0000000000000027E-3</v>
      </c>
      <c r="S8">
        <f t="shared" si="1"/>
        <v>5.0000000000000044E-3</v>
      </c>
      <c r="T8" t="str">
        <f t="shared" si="2"/>
        <v>Medium Sample</v>
      </c>
    </row>
    <row r="9" spans="1:20">
      <c r="A9" t="s">
        <v>27</v>
      </c>
      <c r="B9">
        <v>23</v>
      </c>
      <c r="C9">
        <v>364</v>
      </c>
      <c r="D9">
        <v>0.26400000000000001</v>
      </c>
      <c r="E9">
        <v>0.32200000000000001</v>
      </c>
      <c r="F9">
        <v>0.42399999999999999</v>
      </c>
      <c r="G9">
        <v>0.746</v>
      </c>
      <c r="H9">
        <v>10</v>
      </c>
      <c r="I9" s="1">
        <v>8.2000000000000003E-2</v>
      </c>
      <c r="J9" s="1">
        <v>0.23899999999999999</v>
      </c>
      <c r="K9">
        <v>89.5</v>
      </c>
      <c r="L9" s="1">
        <v>0.41299999999999998</v>
      </c>
      <c r="M9" s="1">
        <v>8.5000000000000006E-2</v>
      </c>
      <c r="N9">
        <v>0.32500000000000001</v>
      </c>
      <c r="O9">
        <v>0.30199999999999999</v>
      </c>
      <c r="P9">
        <v>0.23400000000000001</v>
      </c>
      <c r="Q9">
        <v>0.39300000000000002</v>
      </c>
      <c r="R9">
        <f t="shared" si="0"/>
        <v>-2.300000000000002E-2</v>
      </c>
      <c r="S9">
        <f t="shared" si="1"/>
        <v>-3.0999999999999972E-2</v>
      </c>
      <c r="T9" t="str">
        <f t="shared" si="2"/>
        <v>Medium Sample</v>
      </c>
    </row>
    <row r="10" spans="1:20">
      <c r="A10" t="s">
        <v>28</v>
      </c>
      <c r="B10">
        <v>26</v>
      </c>
      <c r="C10">
        <v>11</v>
      </c>
      <c r="D10">
        <v>0.222</v>
      </c>
      <c r="E10">
        <v>0.36399999999999999</v>
      </c>
      <c r="F10">
        <v>0.222</v>
      </c>
      <c r="G10">
        <v>0.58599999999999997</v>
      </c>
      <c r="H10">
        <v>0</v>
      </c>
      <c r="I10" s="1">
        <v>0.182</v>
      </c>
      <c r="J10" s="1">
        <v>0.27300000000000002</v>
      </c>
      <c r="K10">
        <v>84.2</v>
      </c>
      <c r="L10" s="1">
        <v>0.16700000000000001</v>
      </c>
      <c r="M10" s="1">
        <v>0</v>
      </c>
      <c r="N10">
        <v>0.28899999999999998</v>
      </c>
      <c r="O10">
        <v>0.36699999999999999</v>
      </c>
      <c r="P10">
        <v>0.30099999999999999</v>
      </c>
      <c r="Q10">
        <v>0.376</v>
      </c>
      <c r="R10">
        <f t="shared" si="0"/>
        <v>7.8000000000000014E-2</v>
      </c>
      <c r="S10">
        <f t="shared" si="1"/>
        <v>0.154</v>
      </c>
      <c r="T10" t="str">
        <f t="shared" si="2"/>
        <v>Very Small Sample</v>
      </c>
    </row>
    <row r="11" spans="1:20">
      <c r="A11" t="s">
        <v>29</v>
      </c>
      <c r="B11">
        <v>33</v>
      </c>
      <c r="C11">
        <v>196</v>
      </c>
      <c r="D11">
        <v>0.24099999999999999</v>
      </c>
      <c r="E11">
        <v>0.27</v>
      </c>
      <c r="F11">
        <v>0.36399999999999999</v>
      </c>
      <c r="G11">
        <v>0.63400000000000001</v>
      </c>
      <c r="H11">
        <v>3</v>
      </c>
      <c r="I11" s="1">
        <v>3.1E-2</v>
      </c>
      <c r="J11" s="1">
        <v>0.20899999999999999</v>
      </c>
      <c r="K11">
        <v>85.6</v>
      </c>
      <c r="L11" s="1">
        <v>0.34699999999999998</v>
      </c>
      <c r="M11" s="1">
        <v>2.7E-2</v>
      </c>
      <c r="N11">
        <v>0.27700000000000002</v>
      </c>
      <c r="O11">
        <v>0.26600000000000001</v>
      </c>
      <c r="P11">
        <v>0.24199999999999999</v>
      </c>
      <c r="Q11">
        <v>0.32500000000000001</v>
      </c>
      <c r="R11">
        <f t="shared" si="0"/>
        <v>-1.100000000000001E-2</v>
      </c>
      <c r="S11">
        <f t="shared" si="1"/>
        <v>-3.8999999999999979E-2</v>
      </c>
      <c r="T11" t="str">
        <f t="shared" si="2"/>
        <v>Small Sample</v>
      </c>
    </row>
    <row r="12" spans="1:20">
      <c r="A12" t="s">
        <v>30</v>
      </c>
      <c r="B12">
        <v>23</v>
      </c>
      <c r="C12">
        <v>80</v>
      </c>
      <c r="D12">
        <v>0.16200000000000001</v>
      </c>
      <c r="E12">
        <v>0.27500000000000002</v>
      </c>
      <c r="F12">
        <v>0.17599999999999999</v>
      </c>
      <c r="G12">
        <v>0.45100000000000001</v>
      </c>
      <c r="H12">
        <v>0</v>
      </c>
      <c r="I12" s="1">
        <v>0.112</v>
      </c>
      <c r="J12" s="1">
        <v>0.2</v>
      </c>
      <c r="K12">
        <v>88.6</v>
      </c>
      <c r="L12" s="1">
        <v>0.377</v>
      </c>
      <c r="M12" s="1">
        <v>7.6999999999999999E-2</v>
      </c>
      <c r="N12">
        <v>0.224</v>
      </c>
      <c r="O12">
        <v>0.31</v>
      </c>
      <c r="P12">
        <v>0.221</v>
      </c>
      <c r="Q12">
        <v>0.34599999999999997</v>
      </c>
      <c r="R12">
        <f t="shared" si="0"/>
        <v>8.5999999999999993E-2</v>
      </c>
      <c r="S12">
        <f t="shared" si="1"/>
        <v>0.16999999999999998</v>
      </c>
      <c r="T12" t="str">
        <f t="shared" si="2"/>
        <v>Very Small Sample</v>
      </c>
    </row>
    <row r="13" spans="1:20">
      <c r="A13" t="s">
        <v>31</v>
      </c>
      <c r="B13">
        <v>28</v>
      </c>
      <c r="C13">
        <v>259</v>
      </c>
      <c r="D13">
        <v>0.20799999999999999</v>
      </c>
      <c r="E13">
        <v>0.27600000000000002</v>
      </c>
      <c r="F13">
        <v>0.41599999999999998</v>
      </c>
      <c r="G13">
        <v>0.69199999999999995</v>
      </c>
      <c r="H13">
        <v>13</v>
      </c>
      <c r="I13" s="1">
        <v>6.9000000000000006E-2</v>
      </c>
      <c r="J13" s="1">
        <v>0.28999999999999998</v>
      </c>
      <c r="K13">
        <v>89.8</v>
      </c>
      <c r="L13" s="1">
        <v>0.44</v>
      </c>
      <c r="M13" s="1">
        <v>9.6000000000000002E-2</v>
      </c>
      <c r="N13">
        <v>0.30099999999999999</v>
      </c>
      <c r="O13">
        <v>0.29499999999999998</v>
      </c>
      <c r="P13">
        <v>0.21199999999999999</v>
      </c>
      <c r="Q13">
        <v>0.38800000000000001</v>
      </c>
      <c r="R13">
        <f t="shared" si="0"/>
        <v>-6.0000000000000053E-3</v>
      </c>
      <c r="S13">
        <f t="shared" si="1"/>
        <v>-2.7999999999999969E-2</v>
      </c>
      <c r="T13" t="str">
        <f t="shared" si="2"/>
        <v>Medium Sample</v>
      </c>
    </row>
    <row r="14" spans="1:20">
      <c r="A14" t="s">
        <v>32</v>
      </c>
      <c r="B14">
        <v>21</v>
      </c>
      <c r="C14">
        <v>707</v>
      </c>
      <c r="D14">
        <v>0.27800000000000002</v>
      </c>
      <c r="E14">
        <v>0.376</v>
      </c>
      <c r="F14">
        <v>0.43</v>
      </c>
      <c r="G14">
        <v>0.80600000000000005</v>
      </c>
      <c r="H14">
        <v>18</v>
      </c>
      <c r="I14" s="1">
        <v>0.13400000000000001</v>
      </c>
      <c r="J14" s="1">
        <v>0.14099999999999999</v>
      </c>
      <c r="K14">
        <v>87.8</v>
      </c>
      <c r="L14" s="1">
        <v>0.376</v>
      </c>
      <c r="M14" s="1">
        <v>7.2999999999999995E-2</v>
      </c>
      <c r="N14">
        <v>0.35699999999999998</v>
      </c>
      <c r="O14">
        <v>0.35499999999999998</v>
      </c>
      <c r="P14">
        <v>0.26400000000000001</v>
      </c>
      <c r="Q14">
        <v>0.44500000000000001</v>
      </c>
      <c r="R14">
        <f t="shared" si="0"/>
        <v>-2.0000000000000018E-3</v>
      </c>
      <c r="S14">
        <f t="shared" si="1"/>
        <v>1.5000000000000013E-2</v>
      </c>
      <c r="T14" t="str">
        <f t="shared" si="2"/>
        <v>Large Sample</v>
      </c>
    </row>
    <row r="15" spans="1:20">
      <c r="A15" t="s">
        <v>33</v>
      </c>
      <c r="B15">
        <v>29</v>
      </c>
      <c r="C15">
        <v>291</v>
      </c>
      <c r="D15">
        <v>0.20699999999999999</v>
      </c>
      <c r="E15">
        <v>0.255</v>
      </c>
      <c r="F15">
        <v>0.33500000000000002</v>
      </c>
      <c r="G15">
        <v>0.59</v>
      </c>
      <c r="H15">
        <v>5</v>
      </c>
      <c r="I15" s="1">
        <v>6.5000000000000002E-2</v>
      </c>
      <c r="J15" s="1">
        <v>0.16800000000000001</v>
      </c>
      <c r="K15">
        <v>87.9</v>
      </c>
      <c r="L15" s="1">
        <v>0.372</v>
      </c>
      <c r="M15" s="1">
        <v>0.05</v>
      </c>
      <c r="N15">
        <v>0.25800000000000001</v>
      </c>
      <c r="O15">
        <v>0.30399999999999999</v>
      </c>
      <c r="P15">
        <v>0.25600000000000001</v>
      </c>
      <c r="Q15">
        <v>0.38100000000000001</v>
      </c>
      <c r="R15">
        <f t="shared" si="0"/>
        <v>4.5999999999999985E-2</v>
      </c>
      <c r="S15">
        <f t="shared" si="1"/>
        <v>4.5999999999999985E-2</v>
      </c>
      <c r="T15" t="str">
        <f t="shared" si="2"/>
        <v>Medium Sample</v>
      </c>
    </row>
    <row r="16" spans="1:20">
      <c r="A16" t="s">
        <v>34</v>
      </c>
      <c r="B16">
        <v>21</v>
      </c>
      <c r="C16">
        <v>206</v>
      </c>
      <c r="D16">
        <v>0.27200000000000002</v>
      </c>
      <c r="E16">
        <v>0.35</v>
      </c>
      <c r="F16">
        <v>0.41699999999999998</v>
      </c>
      <c r="G16">
        <v>0.76700000000000002</v>
      </c>
      <c r="H16">
        <v>3</v>
      </c>
      <c r="I16" s="1">
        <v>8.6999999999999994E-2</v>
      </c>
      <c r="J16" s="1">
        <v>0.20399999999999999</v>
      </c>
      <c r="K16">
        <v>87.6</v>
      </c>
      <c r="L16" s="1">
        <v>0.38</v>
      </c>
      <c r="M16" s="1">
        <v>2.1000000000000001E-2</v>
      </c>
      <c r="N16">
        <v>0.33700000000000002</v>
      </c>
      <c r="O16">
        <v>0.314</v>
      </c>
      <c r="P16">
        <v>0.26400000000000001</v>
      </c>
      <c r="Q16">
        <v>0.34499999999999997</v>
      </c>
      <c r="R16">
        <f t="shared" si="0"/>
        <v>-2.300000000000002E-2</v>
      </c>
      <c r="S16">
        <f t="shared" si="1"/>
        <v>-7.2000000000000008E-2</v>
      </c>
      <c r="T16" t="str">
        <f t="shared" si="2"/>
        <v>Small Sample</v>
      </c>
    </row>
    <row r="17" spans="1:20">
      <c r="A17" t="s">
        <v>35</v>
      </c>
      <c r="B17">
        <v>26</v>
      </c>
      <c r="C17">
        <v>39</v>
      </c>
      <c r="D17">
        <v>0.25</v>
      </c>
      <c r="E17">
        <v>0.308</v>
      </c>
      <c r="F17">
        <v>0.33300000000000002</v>
      </c>
      <c r="G17">
        <v>0.64100000000000001</v>
      </c>
      <c r="H17">
        <v>0</v>
      </c>
      <c r="I17" s="1">
        <v>5.0999999999999997E-2</v>
      </c>
      <c r="J17" s="1">
        <v>0.25600000000000001</v>
      </c>
      <c r="K17">
        <v>85.3</v>
      </c>
      <c r="L17" s="1">
        <v>0.192</v>
      </c>
      <c r="M17" s="1">
        <v>3.7999999999999999E-2</v>
      </c>
      <c r="N17">
        <v>0.28799999999999998</v>
      </c>
      <c r="O17">
        <v>0.25</v>
      </c>
      <c r="P17">
        <v>0.21199999999999999</v>
      </c>
      <c r="Q17">
        <v>0.27700000000000002</v>
      </c>
      <c r="R17">
        <f t="shared" si="0"/>
        <v>-3.7999999999999978E-2</v>
      </c>
      <c r="S17">
        <f t="shared" si="1"/>
        <v>-5.5999999999999994E-2</v>
      </c>
      <c r="T17" t="str">
        <f t="shared" si="2"/>
        <v>Very Small Sample</v>
      </c>
    </row>
    <row r="18" spans="1:20">
      <c r="A18" t="s">
        <v>36</v>
      </c>
      <c r="B18">
        <v>25</v>
      </c>
      <c r="C18">
        <v>592</v>
      </c>
      <c r="D18">
        <v>0.28000000000000003</v>
      </c>
      <c r="E18">
        <v>0.37</v>
      </c>
      <c r="F18">
        <v>0.47399999999999998</v>
      </c>
      <c r="G18">
        <v>0.84399999999999997</v>
      </c>
      <c r="H18">
        <v>21</v>
      </c>
      <c r="I18" s="1">
        <v>0.12</v>
      </c>
      <c r="J18" s="1">
        <v>0.26500000000000001</v>
      </c>
      <c r="K18">
        <v>89.9</v>
      </c>
      <c r="L18" s="1">
        <v>0.46</v>
      </c>
      <c r="M18" s="1">
        <v>0.14799999999999999</v>
      </c>
      <c r="N18">
        <v>0.36599999999999999</v>
      </c>
      <c r="O18">
        <v>0.36899999999999999</v>
      </c>
      <c r="P18">
        <v>0.26200000000000001</v>
      </c>
      <c r="Q18">
        <v>0.497</v>
      </c>
      <c r="R18">
        <f t="shared" si="0"/>
        <v>3.0000000000000027E-3</v>
      </c>
      <c r="S18">
        <f t="shared" si="1"/>
        <v>2.300000000000002E-2</v>
      </c>
      <c r="T18" t="str">
        <f t="shared" si="2"/>
        <v>Large Sample</v>
      </c>
    </row>
    <row r="19" spans="1:20">
      <c r="A19" t="s">
        <v>37</v>
      </c>
      <c r="B19">
        <v>26</v>
      </c>
      <c r="C19">
        <v>612</v>
      </c>
      <c r="D19">
        <v>0.23</v>
      </c>
      <c r="E19">
        <v>0.33100000000000002</v>
      </c>
      <c r="F19">
        <v>0.435</v>
      </c>
      <c r="G19">
        <v>0.76600000000000001</v>
      </c>
      <c r="H19">
        <v>26</v>
      </c>
      <c r="I19" s="1">
        <v>0.11600000000000001</v>
      </c>
      <c r="J19" s="1">
        <v>0.317</v>
      </c>
      <c r="K19">
        <v>89.5</v>
      </c>
      <c r="L19" s="1">
        <v>0.42</v>
      </c>
      <c r="M19" s="1">
        <v>0.122</v>
      </c>
      <c r="N19">
        <v>0.33700000000000002</v>
      </c>
      <c r="O19">
        <v>0.314</v>
      </c>
      <c r="P19">
        <v>0.21099999999999999</v>
      </c>
      <c r="Q19">
        <v>0.39200000000000002</v>
      </c>
      <c r="R19">
        <f t="shared" si="0"/>
        <v>-2.300000000000002E-2</v>
      </c>
      <c r="S19">
        <f t="shared" si="1"/>
        <v>-4.2999999999999983E-2</v>
      </c>
      <c r="T19" t="str">
        <f t="shared" si="2"/>
        <v>Large Sample</v>
      </c>
    </row>
    <row r="20" spans="1:20">
      <c r="A20" t="s">
        <v>38</v>
      </c>
      <c r="B20">
        <v>26</v>
      </c>
      <c r="C20">
        <v>175</v>
      </c>
      <c r="D20">
        <v>0.18</v>
      </c>
      <c r="E20">
        <v>0.246</v>
      </c>
      <c r="F20">
        <v>0.34799999999999998</v>
      </c>
      <c r="G20">
        <v>0.59399999999999997</v>
      </c>
      <c r="H20">
        <v>7</v>
      </c>
      <c r="I20" s="1">
        <v>0.08</v>
      </c>
      <c r="J20" s="1">
        <v>0.16600000000000001</v>
      </c>
      <c r="K20">
        <v>87.2</v>
      </c>
      <c r="L20" s="1">
        <v>0.33300000000000002</v>
      </c>
      <c r="M20" s="1">
        <v>7.5999999999999998E-2</v>
      </c>
      <c r="N20">
        <v>0.26200000000000001</v>
      </c>
      <c r="O20">
        <v>0.27200000000000002</v>
      </c>
      <c r="P20">
        <v>0.20300000000000001</v>
      </c>
      <c r="Q20">
        <v>0.34799999999999998</v>
      </c>
      <c r="R20">
        <f t="shared" si="0"/>
        <v>1.0000000000000009E-2</v>
      </c>
      <c r="S20">
        <f t="shared" si="1"/>
        <v>0</v>
      </c>
      <c r="T20" t="str">
        <f t="shared" si="2"/>
        <v>Small Sample</v>
      </c>
    </row>
    <row r="21" spans="1:20">
      <c r="A21" t="s">
        <v>39</v>
      </c>
      <c r="B21">
        <v>31</v>
      </c>
      <c r="C21">
        <v>423</v>
      </c>
      <c r="D21">
        <v>0.19900000000000001</v>
      </c>
      <c r="E21">
        <v>0.28799999999999998</v>
      </c>
      <c r="F21">
        <v>0.29399999999999998</v>
      </c>
      <c r="G21">
        <v>0.58199999999999996</v>
      </c>
      <c r="H21">
        <v>4</v>
      </c>
      <c r="I21" s="1">
        <v>9.9000000000000005E-2</v>
      </c>
      <c r="J21" s="1">
        <v>0.16300000000000001</v>
      </c>
      <c r="K21">
        <v>85.8</v>
      </c>
      <c r="L21" s="1">
        <v>0.22500000000000001</v>
      </c>
      <c r="M21" s="1">
        <v>0.02</v>
      </c>
      <c r="N21">
        <v>0.26500000000000001</v>
      </c>
      <c r="O21">
        <v>0.28399999999999997</v>
      </c>
      <c r="P21">
        <v>0.23</v>
      </c>
      <c r="Q21">
        <v>0.31</v>
      </c>
      <c r="R21">
        <f t="shared" si="0"/>
        <v>1.8999999999999961E-2</v>
      </c>
      <c r="S21">
        <f t="shared" si="1"/>
        <v>1.6000000000000014E-2</v>
      </c>
      <c r="T21" t="str">
        <f t="shared" si="2"/>
        <v>Medium Sample</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BB52-99A9-4CC8-9774-921076A89301}">
  <dimension ref="A1:CD69"/>
  <sheetViews>
    <sheetView topLeftCell="A2" zoomScale="56" zoomScaleNormal="55" workbookViewId="0">
      <selection activeCell="O20" sqref="O20"/>
    </sheetView>
  </sheetViews>
  <sheetFormatPr defaultColWidth="5.54296875" defaultRowHeight="14.5"/>
  <cols>
    <col min="1" max="1" width="16.1796875" bestFit="1" customWidth="1"/>
    <col min="2" max="2" width="6.26953125" bestFit="1" customWidth="1"/>
    <col min="3" max="3" width="13.81640625" bestFit="1" customWidth="1"/>
    <col min="4" max="4" width="11.81640625" bestFit="1" customWidth="1"/>
    <col min="5" max="5" width="11.453125" bestFit="1" customWidth="1"/>
    <col min="6" max="6" width="13.54296875" bestFit="1" customWidth="1"/>
    <col min="7" max="7" width="30.1796875" bestFit="1" customWidth="1"/>
    <col min="8" max="8" width="9.1796875" bestFit="1" customWidth="1"/>
    <col min="9" max="9" width="10.1796875" bestFit="1" customWidth="1"/>
    <col min="10" max="10" width="13.1796875" bestFit="1" customWidth="1"/>
    <col min="11" max="11" width="11.1796875" bestFit="1" customWidth="1"/>
    <col min="12" max="12" width="19.26953125" style="12" bestFit="1" customWidth="1"/>
    <col min="13" max="13" width="20.54296875" style="12" bestFit="1" customWidth="1"/>
    <col min="14" max="14" width="18.26953125" style="12" bestFit="1" customWidth="1"/>
    <col min="15" max="15" width="21.453125" style="12" bestFit="1" customWidth="1"/>
    <col min="16" max="16" width="21" bestFit="1" customWidth="1"/>
    <col min="17" max="17" width="8.1796875" bestFit="1" customWidth="1"/>
    <col min="40" max="40" width="40.54296875" customWidth="1"/>
  </cols>
  <sheetData>
    <row r="1" spans="1:17">
      <c r="A1" t="s">
        <v>0</v>
      </c>
      <c r="B1" t="s">
        <v>2</v>
      </c>
      <c r="C1" t="s">
        <v>17</v>
      </c>
      <c r="D1" t="s">
        <v>18</v>
      </c>
      <c r="E1" t="s">
        <v>40</v>
      </c>
      <c r="F1" s="3" t="s">
        <v>41</v>
      </c>
      <c r="G1" t="s">
        <v>42</v>
      </c>
      <c r="H1" t="s">
        <v>13</v>
      </c>
      <c r="I1" t="s">
        <v>14</v>
      </c>
      <c r="J1" t="s">
        <v>11</v>
      </c>
      <c r="K1" t="s">
        <v>12</v>
      </c>
      <c r="L1" s="12" t="s">
        <v>43</v>
      </c>
      <c r="M1" s="12" t="s">
        <v>44</v>
      </c>
      <c r="N1" s="12" t="s">
        <v>45</v>
      </c>
      <c r="O1" s="12" t="s">
        <v>46</v>
      </c>
      <c r="P1" t="s">
        <v>47</v>
      </c>
      <c r="Q1" t="s">
        <v>48</v>
      </c>
    </row>
    <row r="2" spans="1:17">
      <c r="A2" t="s">
        <v>36</v>
      </c>
      <c r="B2">
        <v>592</v>
      </c>
      <c r="C2">
        <v>3.0000000000000001E-3</v>
      </c>
      <c r="D2">
        <v>2.3E-2</v>
      </c>
      <c r="E2">
        <v>-1.7999999999999999E-2</v>
      </c>
      <c r="F2">
        <v>0.45</v>
      </c>
      <c r="G2" t="str">
        <f t="shared" ref="G2:G16" si="0">IF(C2&gt;=0.025,"Underperforming Expected Results",IF(C2&lt;=-0.025,"Outperforming Expected Results","Results Match Expectations"))</f>
        <v>Results Match Expectations</v>
      </c>
      <c r="H2">
        <v>0.36599999999999999</v>
      </c>
      <c r="I2">
        <v>0.36899999999999999</v>
      </c>
      <c r="J2" s="1">
        <v>0.46</v>
      </c>
      <c r="K2" s="1">
        <v>0.14799999999999999</v>
      </c>
      <c r="L2" s="12">
        <f t="shared" ref="L2:L16" si="1">_xlfn.PERCENTRANK.INC($I$2:$I$16,I2)</f>
        <v>0.92800000000000005</v>
      </c>
      <c r="M2" s="12">
        <f t="shared" ref="M2:M16" si="2">_xlfn.PERCENTRANK.INC($J$2:$J$16,J2)</f>
        <v>0.92800000000000005</v>
      </c>
      <c r="N2" s="12">
        <f t="shared" ref="N2:N16" si="3">_xlfn.PERCENTRANK.INC($K$2:$K$16,K2)</f>
        <v>0.92800000000000005</v>
      </c>
      <c r="O2" s="12">
        <f t="shared" ref="O2:O16" si="4">_xlfn.PERCENTRANK.INC($F$2:$F$16,F2)</f>
        <v>0.64200000000000002</v>
      </c>
      <c r="P2">
        <f t="shared" ref="P2:P16" si="5">100*((L2*0.4)+(M2*0.25)+(N2*0.2)+(O2*0.15))</f>
        <v>88.51</v>
      </c>
      <c r="Q2">
        <f t="shared" ref="Q2:Q16" si="6">_xlfn.RANK.EQ(P2,$P$2:$P$16,0)</f>
        <v>1</v>
      </c>
    </row>
    <row r="3" spans="1:17">
      <c r="A3" t="s">
        <v>25</v>
      </c>
      <c r="B3">
        <v>138</v>
      </c>
      <c r="C3">
        <v>-6.0999999999999999E-2</v>
      </c>
      <c r="D3">
        <v>-0.09</v>
      </c>
      <c r="E3">
        <v>-5.6000000000000001E-2</v>
      </c>
      <c r="F3">
        <v>0.19</v>
      </c>
      <c r="G3" t="str">
        <f t="shared" si="0"/>
        <v>Outperforming Expected Results</v>
      </c>
      <c r="H3">
        <v>0.433</v>
      </c>
      <c r="I3">
        <v>0.372</v>
      </c>
      <c r="J3" s="1">
        <v>0.495</v>
      </c>
      <c r="K3" s="1">
        <v>0.155</v>
      </c>
      <c r="L3" s="12">
        <f t="shared" si="1"/>
        <v>1</v>
      </c>
      <c r="M3" s="12">
        <f t="shared" si="2"/>
        <v>1</v>
      </c>
      <c r="N3" s="12">
        <f t="shared" si="3"/>
        <v>1</v>
      </c>
      <c r="O3" s="12">
        <f t="shared" si="4"/>
        <v>7.0999999999999994E-2</v>
      </c>
      <c r="P3">
        <f t="shared" si="5"/>
        <v>86.065000000000012</v>
      </c>
      <c r="Q3">
        <f t="shared" si="6"/>
        <v>2</v>
      </c>
    </row>
    <row r="4" spans="1:17">
      <c r="A4" t="s">
        <v>24</v>
      </c>
      <c r="B4">
        <v>607</v>
      </c>
      <c r="C4">
        <v>1.9E-2</v>
      </c>
      <c r="D4">
        <v>2.1999999999999999E-2</v>
      </c>
      <c r="E4">
        <v>2.3E-2</v>
      </c>
      <c r="F4">
        <v>0.24</v>
      </c>
      <c r="G4" t="str">
        <f t="shared" si="0"/>
        <v>Results Match Expectations</v>
      </c>
      <c r="H4">
        <v>0.32500000000000001</v>
      </c>
      <c r="I4">
        <v>0.34399999999999997</v>
      </c>
      <c r="J4" s="1">
        <v>0.434</v>
      </c>
      <c r="K4" s="1">
        <v>0.10100000000000001</v>
      </c>
      <c r="L4" s="12">
        <f t="shared" si="1"/>
        <v>0.78500000000000003</v>
      </c>
      <c r="M4" s="12">
        <f t="shared" si="2"/>
        <v>0.78500000000000003</v>
      </c>
      <c r="N4" s="12">
        <f t="shared" si="3"/>
        <v>0.78500000000000003</v>
      </c>
      <c r="O4" s="12">
        <f t="shared" si="4"/>
        <v>0.14199999999999999</v>
      </c>
      <c r="P4">
        <f t="shared" si="5"/>
        <v>68.855000000000004</v>
      </c>
      <c r="Q4">
        <f t="shared" si="6"/>
        <v>3</v>
      </c>
    </row>
    <row r="5" spans="1:17">
      <c r="A5" t="s">
        <v>32</v>
      </c>
      <c r="B5">
        <v>707</v>
      </c>
      <c r="C5">
        <v>-2E-3</v>
      </c>
      <c r="D5">
        <v>1.4999999999999999E-2</v>
      </c>
      <c r="E5">
        <v>-1.4E-2</v>
      </c>
      <c r="F5">
        <v>0.95</v>
      </c>
      <c r="G5" t="str">
        <f t="shared" si="0"/>
        <v>Results Match Expectations</v>
      </c>
      <c r="H5">
        <v>0.35699999999999998</v>
      </c>
      <c r="I5">
        <v>0.35499999999999998</v>
      </c>
      <c r="J5" s="1">
        <v>0.376</v>
      </c>
      <c r="K5" s="1">
        <v>7.2999999999999995E-2</v>
      </c>
      <c r="L5" s="12">
        <f t="shared" si="1"/>
        <v>0.85699999999999998</v>
      </c>
      <c r="M5" s="12">
        <f t="shared" si="2"/>
        <v>0.35699999999999998</v>
      </c>
      <c r="N5" s="12">
        <f t="shared" si="3"/>
        <v>0.42799999999999999</v>
      </c>
      <c r="O5" s="12">
        <f t="shared" si="4"/>
        <v>1</v>
      </c>
      <c r="P5">
        <f t="shared" si="5"/>
        <v>66.765000000000001</v>
      </c>
      <c r="Q5">
        <f t="shared" si="6"/>
        <v>4</v>
      </c>
    </row>
    <row r="6" spans="1:17">
      <c r="A6" t="s">
        <v>22</v>
      </c>
      <c r="B6">
        <v>423</v>
      </c>
      <c r="C6">
        <v>1.2E-2</v>
      </c>
      <c r="D6">
        <v>1.7000000000000001E-2</v>
      </c>
      <c r="E6">
        <v>1.4E-2</v>
      </c>
      <c r="F6">
        <v>0.38</v>
      </c>
      <c r="G6" t="str">
        <f t="shared" si="0"/>
        <v>Results Match Expectations</v>
      </c>
      <c r="H6">
        <v>0.32100000000000001</v>
      </c>
      <c r="I6">
        <v>0.33300000000000002</v>
      </c>
      <c r="J6" s="1">
        <v>0.42099999999999999</v>
      </c>
      <c r="K6" s="1">
        <v>7.5999999999999998E-2</v>
      </c>
      <c r="L6" s="12">
        <f t="shared" si="1"/>
        <v>0.71399999999999997</v>
      </c>
      <c r="M6" s="12">
        <f t="shared" si="2"/>
        <v>0.64200000000000002</v>
      </c>
      <c r="N6" s="12">
        <f t="shared" si="3"/>
        <v>0.5</v>
      </c>
      <c r="O6" s="12">
        <f t="shared" si="4"/>
        <v>0.42799999999999999</v>
      </c>
      <c r="P6">
        <f t="shared" si="5"/>
        <v>61.030000000000008</v>
      </c>
      <c r="Q6">
        <f t="shared" si="6"/>
        <v>5</v>
      </c>
    </row>
    <row r="7" spans="1:17">
      <c r="A7" t="s">
        <v>20</v>
      </c>
      <c r="B7">
        <v>140</v>
      </c>
      <c r="C7">
        <v>-2.4E-2</v>
      </c>
      <c r="D7">
        <v>-6.3E-2</v>
      </c>
      <c r="E7">
        <v>-7.0000000000000001E-3</v>
      </c>
      <c r="F7">
        <v>0.47</v>
      </c>
      <c r="G7" t="str">
        <f t="shared" si="0"/>
        <v>Results Match Expectations</v>
      </c>
      <c r="H7">
        <v>0.34100000000000003</v>
      </c>
      <c r="I7">
        <v>0.317</v>
      </c>
      <c r="J7" s="1">
        <v>0.42399999999999999</v>
      </c>
      <c r="K7" s="1">
        <v>7.0999999999999994E-2</v>
      </c>
      <c r="L7" s="12">
        <f t="shared" si="1"/>
        <v>0.57099999999999995</v>
      </c>
      <c r="M7" s="12">
        <f t="shared" si="2"/>
        <v>0.71399999999999997</v>
      </c>
      <c r="N7" s="12">
        <f t="shared" si="3"/>
        <v>0.35699999999999998</v>
      </c>
      <c r="O7" s="12">
        <f t="shared" si="4"/>
        <v>0.71399999999999997</v>
      </c>
      <c r="P7">
        <f t="shared" si="5"/>
        <v>58.540000000000006</v>
      </c>
      <c r="Q7">
        <f t="shared" si="6"/>
        <v>6</v>
      </c>
    </row>
    <row r="8" spans="1:17">
      <c r="A8" t="s">
        <v>37</v>
      </c>
      <c r="B8">
        <v>612</v>
      </c>
      <c r="C8">
        <v>-2.3E-2</v>
      </c>
      <c r="D8">
        <v>-4.2999999999999997E-2</v>
      </c>
      <c r="E8">
        <v>-1.9E-2</v>
      </c>
      <c r="F8">
        <v>0.37</v>
      </c>
      <c r="G8" t="str">
        <f t="shared" si="0"/>
        <v>Results Match Expectations</v>
      </c>
      <c r="H8">
        <v>0.33700000000000002</v>
      </c>
      <c r="I8">
        <v>0.314</v>
      </c>
      <c r="J8" s="1">
        <v>0.42</v>
      </c>
      <c r="K8" s="1">
        <v>0.122</v>
      </c>
      <c r="L8" s="12">
        <f t="shared" si="1"/>
        <v>0.42799999999999999</v>
      </c>
      <c r="M8" s="12">
        <f t="shared" si="2"/>
        <v>0.57099999999999995</v>
      </c>
      <c r="N8" s="12">
        <f t="shared" si="3"/>
        <v>0.85699999999999998</v>
      </c>
      <c r="O8" s="12">
        <f t="shared" si="4"/>
        <v>0.35699999999999998</v>
      </c>
      <c r="P8">
        <f t="shared" si="5"/>
        <v>53.890000000000008</v>
      </c>
      <c r="Q8">
        <f t="shared" si="6"/>
        <v>7</v>
      </c>
    </row>
    <row r="9" spans="1:17">
      <c r="A9" t="s">
        <v>26</v>
      </c>
      <c r="B9">
        <v>420</v>
      </c>
      <c r="C9">
        <v>-3.0000000000000001E-3</v>
      </c>
      <c r="D9">
        <v>5.0000000000000001E-3</v>
      </c>
      <c r="E9">
        <v>-8.0000000000000002E-3</v>
      </c>
      <c r="F9">
        <v>0.7</v>
      </c>
      <c r="G9" t="str">
        <f t="shared" si="0"/>
        <v>Results Match Expectations</v>
      </c>
      <c r="H9">
        <v>0.32800000000000001</v>
      </c>
      <c r="I9">
        <v>0.32500000000000001</v>
      </c>
      <c r="J9" s="1">
        <v>0.32300000000000001</v>
      </c>
      <c r="K9" s="1">
        <v>6.0999999999999999E-2</v>
      </c>
      <c r="L9" s="12">
        <f t="shared" si="1"/>
        <v>0.64200000000000002</v>
      </c>
      <c r="M9" s="12">
        <f t="shared" si="2"/>
        <v>7.0999999999999994E-2</v>
      </c>
      <c r="N9" s="12">
        <f t="shared" si="3"/>
        <v>0.28499999999999998</v>
      </c>
      <c r="O9" s="12">
        <f t="shared" si="4"/>
        <v>0.92800000000000005</v>
      </c>
      <c r="P9">
        <f t="shared" si="5"/>
        <v>47.075000000000003</v>
      </c>
      <c r="Q9">
        <f t="shared" si="6"/>
        <v>8</v>
      </c>
    </row>
    <row r="10" spans="1:17">
      <c r="A10" t="s">
        <v>31</v>
      </c>
      <c r="B10">
        <v>259</v>
      </c>
      <c r="C10">
        <v>-6.0000000000000001E-3</v>
      </c>
      <c r="D10">
        <v>-2.8000000000000001E-2</v>
      </c>
      <c r="E10">
        <v>4.0000000000000001E-3</v>
      </c>
      <c r="F10">
        <v>0.24</v>
      </c>
      <c r="G10" t="str">
        <f t="shared" si="0"/>
        <v>Results Match Expectations</v>
      </c>
      <c r="H10">
        <v>0.30099999999999999</v>
      </c>
      <c r="I10">
        <v>0.29499999999999998</v>
      </c>
      <c r="J10" s="1">
        <v>0.44</v>
      </c>
      <c r="K10" s="1">
        <v>9.6000000000000002E-2</v>
      </c>
      <c r="L10" s="12">
        <f t="shared" si="1"/>
        <v>0.214</v>
      </c>
      <c r="M10" s="12">
        <f t="shared" si="2"/>
        <v>0.85699999999999998</v>
      </c>
      <c r="N10" s="12">
        <f t="shared" si="3"/>
        <v>0.71399999999999997</v>
      </c>
      <c r="O10" s="12">
        <f t="shared" si="4"/>
        <v>0.14199999999999999</v>
      </c>
      <c r="P10">
        <f t="shared" si="5"/>
        <v>46.394999999999996</v>
      </c>
      <c r="Q10">
        <f t="shared" si="6"/>
        <v>9</v>
      </c>
    </row>
    <row r="11" spans="1:17">
      <c r="A11" t="s">
        <v>27</v>
      </c>
      <c r="B11">
        <v>364</v>
      </c>
      <c r="C11">
        <v>-2.3E-2</v>
      </c>
      <c r="D11">
        <v>-3.1E-2</v>
      </c>
      <c r="E11">
        <v>-0.03</v>
      </c>
      <c r="F11">
        <v>0.34</v>
      </c>
      <c r="G11" t="str">
        <f t="shared" si="0"/>
        <v>Results Match Expectations</v>
      </c>
      <c r="H11">
        <v>0.32500000000000001</v>
      </c>
      <c r="I11">
        <v>0.30199999999999999</v>
      </c>
      <c r="J11" s="1">
        <v>0.41299999999999998</v>
      </c>
      <c r="K11" s="1">
        <v>8.5000000000000006E-2</v>
      </c>
      <c r="L11" s="12">
        <f t="shared" si="1"/>
        <v>0.28499999999999998</v>
      </c>
      <c r="M11" s="12">
        <f t="shared" si="2"/>
        <v>0.5</v>
      </c>
      <c r="N11" s="12">
        <f t="shared" si="3"/>
        <v>0.64200000000000002</v>
      </c>
      <c r="O11" s="12">
        <f t="shared" si="4"/>
        <v>0.28499999999999998</v>
      </c>
      <c r="P11">
        <f t="shared" si="5"/>
        <v>41.015000000000001</v>
      </c>
      <c r="Q11">
        <f t="shared" si="6"/>
        <v>10</v>
      </c>
    </row>
    <row r="12" spans="1:17">
      <c r="A12" t="s">
        <v>34</v>
      </c>
      <c r="B12">
        <v>206</v>
      </c>
      <c r="C12">
        <v>-2.3E-2</v>
      </c>
      <c r="D12">
        <v>-7.1999999999999995E-2</v>
      </c>
      <c r="E12">
        <v>-8.0000000000000002E-3</v>
      </c>
      <c r="F12">
        <v>0.43</v>
      </c>
      <c r="G12" t="str">
        <f t="shared" si="0"/>
        <v>Results Match Expectations</v>
      </c>
      <c r="H12">
        <v>0.33700000000000002</v>
      </c>
      <c r="I12">
        <v>0.314</v>
      </c>
      <c r="J12" s="1">
        <v>0.38</v>
      </c>
      <c r="K12" s="1">
        <v>2.1000000000000001E-2</v>
      </c>
      <c r="L12" s="12">
        <f t="shared" si="1"/>
        <v>0.42799999999999999</v>
      </c>
      <c r="M12" s="12">
        <f t="shared" si="2"/>
        <v>0.42799999999999999</v>
      </c>
      <c r="N12" s="12">
        <f t="shared" si="3"/>
        <v>7.0999999999999994E-2</v>
      </c>
      <c r="O12" s="12">
        <f t="shared" si="4"/>
        <v>0.57099999999999995</v>
      </c>
      <c r="P12">
        <f t="shared" si="5"/>
        <v>37.805</v>
      </c>
      <c r="Q12">
        <f t="shared" si="6"/>
        <v>11</v>
      </c>
    </row>
    <row r="13" spans="1:17">
      <c r="A13" t="s">
        <v>33</v>
      </c>
      <c r="B13">
        <v>291</v>
      </c>
      <c r="C13">
        <v>4.5999999999999999E-2</v>
      </c>
      <c r="D13">
        <v>4.5999999999999999E-2</v>
      </c>
      <c r="E13">
        <v>4.9000000000000002E-2</v>
      </c>
      <c r="F13">
        <v>0.39</v>
      </c>
      <c r="G13" t="str">
        <f t="shared" si="0"/>
        <v>Underperforming Expected Results</v>
      </c>
      <c r="H13">
        <v>0.25800000000000001</v>
      </c>
      <c r="I13">
        <v>0.30399999999999999</v>
      </c>
      <c r="J13" s="1">
        <v>0.372</v>
      </c>
      <c r="K13" s="1">
        <v>0.05</v>
      </c>
      <c r="L13" s="12">
        <f t="shared" si="1"/>
        <v>0.35699999999999998</v>
      </c>
      <c r="M13" s="12">
        <f t="shared" si="2"/>
        <v>0.28499999999999998</v>
      </c>
      <c r="N13" s="12">
        <f t="shared" si="3"/>
        <v>0.214</v>
      </c>
      <c r="O13" s="12">
        <f t="shared" si="4"/>
        <v>0.5</v>
      </c>
      <c r="P13">
        <f t="shared" si="5"/>
        <v>33.185000000000002</v>
      </c>
      <c r="Q13">
        <f t="shared" si="6"/>
        <v>12</v>
      </c>
    </row>
    <row r="14" spans="1:17">
      <c r="A14" t="s">
        <v>38</v>
      </c>
      <c r="B14">
        <v>175</v>
      </c>
      <c r="C14">
        <v>0.01</v>
      </c>
      <c r="D14">
        <v>0</v>
      </c>
      <c r="E14">
        <v>2.3E-2</v>
      </c>
      <c r="F14">
        <v>0.48</v>
      </c>
      <c r="G14" t="str">
        <f t="shared" si="0"/>
        <v>Results Match Expectations</v>
      </c>
      <c r="H14">
        <v>0.26200000000000001</v>
      </c>
      <c r="I14">
        <v>0.27200000000000002</v>
      </c>
      <c r="J14" s="1">
        <v>0.33300000000000002</v>
      </c>
      <c r="K14" s="1">
        <v>7.5999999999999998E-2</v>
      </c>
      <c r="L14" s="12">
        <f t="shared" si="1"/>
        <v>7.0999999999999994E-2</v>
      </c>
      <c r="M14" s="12">
        <f t="shared" si="2"/>
        <v>0.14199999999999999</v>
      </c>
      <c r="N14" s="12">
        <f t="shared" si="3"/>
        <v>0.5</v>
      </c>
      <c r="O14" s="12">
        <f t="shared" si="4"/>
        <v>0.78500000000000003</v>
      </c>
      <c r="P14">
        <f t="shared" si="5"/>
        <v>28.164999999999996</v>
      </c>
      <c r="Q14">
        <f t="shared" si="6"/>
        <v>13</v>
      </c>
    </row>
    <row r="15" spans="1:17">
      <c r="A15" t="s">
        <v>39</v>
      </c>
      <c r="B15">
        <v>423</v>
      </c>
      <c r="C15">
        <v>1.9E-2</v>
      </c>
      <c r="D15">
        <v>1.6E-2</v>
      </c>
      <c r="E15">
        <v>3.1E-2</v>
      </c>
      <c r="F15">
        <v>0.61</v>
      </c>
      <c r="G15" t="str">
        <f t="shared" si="0"/>
        <v>Results Match Expectations</v>
      </c>
      <c r="H15">
        <v>0.26500000000000001</v>
      </c>
      <c r="I15">
        <v>0.28399999999999997</v>
      </c>
      <c r="J15" s="1">
        <v>0.22500000000000001</v>
      </c>
      <c r="K15" s="1">
        <v>0.02</v>
      </c>
      <c r="L15" s="12">
        <f t="shared" si="1"/>
        <v>0.14199999999999999</v>
      </c>
      <c r="M15" s="12">
        <f t="shared" si="2"/>
        <v>0</v>
      </c>
      <c r="N15" s="12">
        <f t="shared" si="3"/>
        <v>0</v>
      </c>
      <c r="O15" s="12">
        <f t="shared" si="4"/>
        <v>0.85699999999999998</v>
      </c>
      <c r="P15">
        <f t="shared" si="5"/>
        <v>18.535</v>
      </c>
      <c r="Q15">
        <f t="shared" si="6"/>
        <v>14</v>
      </c>
    </row>
    <row r="16" spans="1:17">
      <c r="A16" t="s">
        <v>29</v>
      </c>
      <c r="B16">
        <v>196</v>
      </c>
      <c r="C16">
        <v>-1.0999999999999999E-2</v>
      </c>
      <c r="D16">
        <v>-3.9E-2</v>
      </c>
      <c r="E16">
        <v>1E-3</v>
      </c>
      <c r="F16">
        <v>0.15</v>
      </c>
      <c r="G16" t="str">
        <f t="shared" si="0"/>
        <v>Results Match Expectations</v>
      </c>
      <c r="H16">
        <v>0.27700000000000002</v>
      </c>
      <c r="I16">
        <v>0.26600000000000001</v>
      </c>
      <c r="J16" s="1">
        <v>0.34699999999999998</v>
      </c>
      <c r="K16" s="1">
        <v>2.7E-2</v>
      </c>
      <c r="L16" s="12">
        <f t="shared" si="1"/>
        <v>0</v>
      </c>
      <c r="M16" s="12">
        <f t="shared" si="2"/>
        <v>0.214</v>
      </c>
      <c r="N16" s="12">
        <f t="shared" si="3"/>
        <v>0.14199999999999999</v>
      </c>
      <c r="O16" s="12">
        <f t="shared" si="4"/>
        <v>0</v>
      </c>
      <c r="P16">
        <f t="shared" si="5"/>
        <v>8.19</v>
      </c>
      <c r="Q16">
        <f t="shared" si="6"/>
        <v>15</v>
      </c>
    </row>
    <row r="18" spans="1:33" ht="14.5" customHeight="1">
      <c r="A18" s="5" t="s">
        <v>49</v>
      </c>
    </row>
    <row r="19" spans="1:33" ht="14.5" customHeight="1">
      <c r="A19" s="5" t="s">
        <v>50</v>
      </c>
    </row>
    <row r="20" spans="1:33" ht="14.5" customHeight="1">
      <c r="A20" s="5" t="s">
        <v>51</v>
      </c>
      <c r="V20" s="17" t="s">
        <v>52</v>
      </c>
      <c r="W20" s="17"/>
      <c r="X20" s="17"/>
      <c r="Y20" s="17"/>
      <c r="Z20" s="17"/>
      <c r="AA20" s="17"/>
      <c r="AB20" s="17"/>
      <c r="AC20" s="17"/>
      <c r="AD20" s="17"/>
      <c r="AE20" s="17"/>
      <c r="AF20" s="17"/>
      <c r="AG20" s="17"/>
    </row>
    <row r="21" spans="1:33" ht="14.5" customHeight="1">
      <c r="V21" s="17"/>
      <c r="W21" s="17"/>
      <c r="X21" s="17"/>
      <c r="Y21" s="17"/>
      <c r="Z21" s="17"/>
      <c r="AA21" s="17"/>
      <c r="AB21" s="17"/>
      <c r="AC21" s="17"/>
      <c r="AD21" s="17"/>
      <c r="AE21" s="17"/>
      <c r="AF21" s="17"/>
      <c r="AG21" s="17"/>
    </row>
    <row r="22" spans="1:33" ht="14.5" customHeight="1">
      <c r="V22" s="17"/>
      <c r="W22" s="17"/>
      <c r="X22" s="17"/>
      <c r="Y22" s="17"/>
      <c r="Z22" s="17"/>
      <c r="AA22" s="17"/>
      <c r="AB22" s="17"/>
      <c r="AC22" s="17"/>
      <c r="AD22" s="17"/>
      <c r="AE22" s="17"/>
      <c r="AF22" s="17"/>
      <c r="AG22" s="17"/>
    </row>
    <row r="43" spans="10:20">
      <c r="J43" s="4"/>
      <c r="K43" s="4"/>
      <c r="L43" s="13"/>
      <c r="M43" s="13"/>
      <c r="N43" s="13"/>
      <c r="O43" s="13"/>
      <c r="P43" s="4"/>
      <c r="Q43" s="4"/>
      <c r="R43" s="4"/>
      <c r="S43" s="4"/>
      <c r="T43" s="4"/>
    </row>
    <row r="52" spans="39:82" ht="26">
      <c r="AM52" s="15"/>
      <c r="AN52" s="15" t="s">
        <v>53</v>
      </c>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4"/>
      <c r="CA52" s="14"/>
      <c r="CB52" s="14"/>
      <c r="CC52" s="14"/>
      <c r="CD52" s="14"/>
    </row>
    <row r="53" spans="39:82" ht="91">
      <c r="AM53" s="15"/>
      <c r="AN53" s="16" t="s">
        <v>54</v>
      </c>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4"/>
      <c r="CA53" s="14"/>
      <c r="CB53" s="14"/>
      <c r="CC53" s="14"/>
      <c r="CD53" s="14"/>
    </row>
    <row r="54" spans="39:82" ht="17.5" customHeight="1">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4"/>
      <c r="CA54" s="14"/>
      <c r="CB54" s="14"/>
      <c r="CC54" s="14"/>
      <c r="CD54" s="14"/>
    </row>
    <row r="55" spans="39:82" ht="78">
      <c r="AM55" s="15"/>
      <c r="AN55" s="16" t="s">
        <v>55</v>
      </c>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4"/>
      <c r="CA55" s="14"/>
      <c r="CB55" s="14"/>
      <c r="CC55" s="14"/>
      <c r="CD55" s="14"/>
    </row>
    <row r="56" spans="39:82">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4"/>
      <c r="CA56" s="14"/>
      <c r="CB56" s="14"/>
      <c r="CC56" s="14"/>
      <c r="CD56" s="14"/>
    </row>
    <row r="57" spans="39:82" ht="39">
      <c r="AM57" s="15"/>
      <c r="AN57" s="16" t="s">
        <v>56</v>
      </c>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4"/>
      <c r="CA57" s="14"/>
      <c r="CB57" s="14"/>
      <c r="CC57" s="14"/>
      <c r="CD57" s="14"/>
    </row>
    <row r="58" spans="39:82">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4"/>
      <c r="CA58" s="14"/>
      <c r="CB58" s="14"/>
      <c r="CC58" s="14"/>
      <c r="CD58" s="14"/>
    </row>
    <row r="59" spans="39:82" ht="65">
      <c r="AM59" s="15"/>
      <c r="AN59" s="16" t="s">
        <v>57</v>
      </c>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4"/>
      <c r="CA59" s="14"/>
      <c r="CB59" s="14"/>
      <c r="CC59" s="14"/>
      <c r="CD59" s="14"/>
    </row>
    <row r="60" spans="39:82">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4"/>
      <c r="CA60" s="14"/>
      <c r="CB60" s="14"/>
      <c r="CC60" s="14"/>
      <c r="CD60" s="14"/>
    </row>
    <row r="61" spans="39:82" ht="65">
      <c r="AM61" s="15"/>
      <c r="AN61" s="16" t="s">
        <v>58</v>
      </c>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4"/>
      <c r="CA61" s="14"/>
      <c r="CB61" s="14"/>
      <c r="CC61" s="14"/>
      <c r="CD61" s="14"/>
    </row>
    <row r="62" spans="39:82">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4"/>
      <c r="CA62" s="14"/>
      <c r="CB62" s="14"/>
      <c r="CC62" s="14"/>
      <c r="CD62" s="14"/>
    </row>
    <row r="63" spans="39:82" ht="65">
      <c r="AM63" s="15"/>
      <c r="AN63" s="16" t="s">
        <v>59</v>
      </c>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4"/>
      <c r="CA63" s="14"/>
      <c r="CB63" s="14"/>
      <c r="CC63" s="14"/>
      <c r="CD63" s="14"/>
    </row>
    <row r="64" spans="39:82">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4"/>
      <c r="CA64" s="14"/>
      <c r="CB64" s="14"/>
      <c r="CC64" s="14"/>
      <c r="CD64" s="14"/>
    </row>
    <row r="65" spans="39:82" ht="52">
      <c r="AM65" s="15"/>
      <c r="AN65" s="16" t="s">
        <v>60</v>
      </c>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4"/>
      <c r="CA65" s="14"/>
      <c r="CB65" s="14"/>
      <c r="CC65" s="14"/>
      <c r="CD65" s="14"/>
    </row>
    <row r="66" spans="39:82">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4"/>
      <c r="CA66" s="14"/>
      <c r="CB66" s="14"/>
      <c r="CC66" s="14"/>
      <c r="CD66" s="14"/>
    </row>
    <row r="67" spans="39:82" ht="65">
      <c r="AM67" s="15"/>
      <c r="AN67" s="16" t="s">
        <v>61</v>
      </c>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4"/>
      <c r="CA67" s="14"/>
      <c r="CB67" s="14"/>
      <c r="CC67" s="14"/>
      <c r="CD67" s="14"/>
    </row>
    <row r="68" spans="39:82" ht="65">
      <c r="AM68" s="15"/>
      <c r="AN68" s="15" t="s">
        <v>62</v>
      </c>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4"/>
      <c r="CA68" s="14"/>
      <c r="CB68" s="14"/>
      <c r="CC68" s="14"/>
      <c r="CD68" s="14"/>
    </row>
    <row r="69" spans="39:82">
      <c r="AM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4"/>
      <c r="CA69" s="14"/>
      <c r="CB69" s="14"/>
      <c r="CC69" s="14"/>
      <c r="CD69" s="14"/>
    </row>
  </sheetData>
  <mergeCells count="1">
    <mergeCell ref="V20:AG22"/>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DD7B9-DF53-4DC6-A95C-BE53CB1FFAED}">
  <dimension ref="A1"/>
  <sheetViews>
    <sheetView showGridLines="0" tabSelected="1" topLeftCell="A11" zoomScale="39" zoomScaleNormal="62" workbookViewId="0">
      <selection activeCell="AJ48" sqref="AJ48"/>
    </sheetView>
  </sheetViews>
  <sheetFormatPr defaultRowHeight="1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BDE0-3D2C-48BE-947D-A61AC5614579}">
  <dimension ref="A1:P41"/>
  <sheetViews>
    <sheetView workbookViewId="0">
      <selection activeCell="A10" sqref="A10"/>
    </sheetView>
  </sheetViews>
  <sheetFormatPr defaultRowHeight="14.5"/>
  <cols>
    <col min="1" max="1" width="100.54296875" style="11" customWidth="1"/>
  </cols>
  <sheetData>
    <row r="1" spans="1:16">
      <c r="A1" s="8" t="s">
        <v>63</v>
      </c>
      <c r="B1" s="6"/>
      <c r="C1" s="6"/>
      <c r="D1" s="6"/>
      <c r="E1" s="6"/>
      <c r="F1" s="6"/>
      <c r="G1" s="6"/>
      <c r="H1" s="6"/>
      <c r="I1" s="6"/>
      <c r="J1" s="6"/>
      <c r="K1" s="6"/>
      <c r="L1" s="6"/>
      <c r="M1" s="6"/>
      <c r="N1" s="6"/>
      <c r="O1" s="6"/>
      <c r="P1" s="7"/>
    </row>
    <row r="2" spans="1:16" ht="23">
      <c r="A2" s="9" t="s">
        <v>64</v>
      </c>
      <c r="B2" s="6"/>
      <c r="C2" s="6"/>
      <c r="D2" s="6"/>
      <c r="E2" s="6"/>
      <c r="F2" s="6"/>
      <c r="G2" s="6"/>
      <c r="H2" s="6"/>
      <c r="I2" s="6"/>
      <c r="J2" s="6"/>
      <c r="K2" s="6"/>
      <c r="L2" s="6"/>
      <c r="M2" s="6"/>
      <c r="N2" s="6"/>
      <c r="O2" s="6"/>
      <c r="P2" s="7"/>
    </row>
    <row r="3" spans="1:16">
      <c r="A3" s="10"/>
      <c r="B3" s="6"/>
      <c r="C3" s="6"/>
      <c r="D3" s="6"/>
      <c r="E3" s="6"/>
      <c r="F3" s="6"/>
      <c r="G3" s="6"/>
      <c r="H3" s="6"/>
      <c r="I3" s="6"/>
      <c r="J3" s="6"/>
      <c r="K3" s="6"/>
      <c r="L3" s="6"/>
      <c r="M3" s="6"/>
      <c r="N3" s="6"/>
      <c r="O3" s="6"/>
      <c r="P3" s="7"/>
    </row>
    <row r="4" spans="1:16">
      <c r="A4" s="8" t="s">
        <v>65</v>
      </c>
      <c r="B4" s="6"/>
      <c r="C4" s="6"/>
      <c r="D4" s="6"/>
      <c r="E4" s="6"/>
      <c r="F4" s="6"/>
      <c r="G4" s="6"/>
      <c r="H4" s="6"/>
      <c r="I4" s="6"/>
      <c r="J4" s="6"/>
      <c r="K4" s="6"/>
      <c r="L4" s="6"/>
      <c r="M4" s="6"/>
      <c r="N4" s="6"/>
      <c r="O4" s="6"/>
      <c r="P4" s="7"/>
    </row>
    <row r="5" spans="1:16">
      <c r="A5" s="9" t="s">
        <v>66</v>
      </c>
      <c r="B5" s="6"/>
      <c r="C5" s="6"/>
      <c r="D5" s="6"/>
      <c r="E5" s="6"/>
      <c r="F5" s="6"/>
      <c r="G5" s="6"/>
      <c r="H5" s="6"/>
      <c r="I5" s="6"/>
      <c r="J5" s="6"/>
      <c r="K5" s="6"/>
      <c r="L5" s="6"/>
      <c r="M5" s="6"/>
      <c r="N5" s="6"/>
      <c r="O5" s="6"/>
      <c r="P5" s="7"/>
    </row>
    <row r="6" spans="1:16">
      <c r="A6" s="9" t="s">
        <v>67</v>
      </c>
      <c r="B6" s="6"/>
      <c r="C6" s="6"/>
      <c r="D6" s="6"/>
      <c r="E6" s="6"/>
      <c r="F6" s="6"/>
      <c r="G6" s="6"/>
      <c r="H6" s="6"/>
      <c r="I6" s="6"/>
      <c r="J6" s="6"/>
      <c r="K6" s="6"/>
      <c r="L6" s="6"/>
      <c r="M6" s="6"/>
      <c r="N6" s="6"/>
      <c r="O6" s="6"/>
      <c r="P6" s="7"/>
    </row>
    <row r="7" spans="1:16">
      <c r="A7" s="9" t="s">
        <v>68</v>
      </c>
      <c r="B7" s="6"/>
      <c r="C7" s="6"/>
      <c r="D7" s="6"/>
      <c r="E7" s="6"/>
      <c r="F7" s="6"/>
      <c r="G7" s="6"/>
      <c r="H7" s="6"/>
      <c r="I7" s="6"/>
      <c r="J7" s="6"/>
      <c r="K7" s="6"/>
      <c r="L7" s="6"/>
      <c r="M7" s="6"/>
      <c r="N7" s="6"/>
      <c r="O7" s="6"/>
      <c r="P7" s="7"/>
    </row>
    <row r="8" spans="1:16">
      <c r="A8" s="9" t="s">
        <v>69</v>
      </c>
      <c r="B8" s="6"/>
      <c r="C8" s="6"/>
      <c r="D8" s="6"/>
      <c r="E8" s="6"/>
      <c r="F8" s="6"/>
      <c r="G8" s="6"/>
      <c r="H8" s="6"/>
      <c r="I8" s="6"/>
      <c r="J8" s="6"/>
      <c r="K8" s="6"/>
      <c r="L8" s="6"/>
      <c r="M8" s="6"/>
      <c r="N8" s="6"/>
      <c r="O8" s="6"/>
      <c r="P8" s="7"/>
    </row>
    <row r="9" spans="1:16">
      <c r="A9" s="9" t="s">
        <v>70</v>
      </c>
      <c r="B9" s="6"/>
      <c r="C9" s="6"/>
      <c r="D9" s="6"/>
      <c r="E9" s="6"/>
      <c r="F9" s="6"/>
      <c r="G9" s="6"/>
      <c r="H9" s="6"/>
      <c r="I9" s="6"/>
      <c r="J9" s="6"/>
      <c r="K9" s="6"/>
      <c r="L9" s="6"/>
      <c r="M9" s="6"/>
      <c r="N9" s="6"/>
      <c r="O9" s="6"/>
      <c r="P9" s="7"/>
    </row>
    <row r="10" spans="1:16">
      <c r="A10" s="10"/>
      <c r="B10" s="6"/>
      <c r="C10" s="6"/>
      <c r="D10" s="6"/>
      <c r="E10" s="6"/>
      <c r="F10" s="6"/>
      <c r="G10" s="6"/>
      <c r="H10" s="6"/>
      <c r="I10" s="6"/>
      <c r="J10" s="6"/>
      <c r="K10" s="6"/>
      <c r="L10" s="6"/>
      <c r="M10" s="6"/>
      <c r="N10" s="6"/>
      <c r="O10" s="6"/>
      <c r="P10" s="7"/>
    </row>
    <row r="11" spans="1:16">
      <c r="A11" s="8" t="s">
        <v>71</v>
      </c>
      <c r="B11" s="6"/>
      <c r="C11" s="6"/>
      <c r="D11" s="6"/>
      <c r="E11" s="6"/>
      <c r="F11" s="6"/>
      <c r="G11" s="6"/>
      <c r="H11" s="6"/>
      <c r="I11" s="6"/>
      <c r="J11" s="6"/>
      <c r="K11" s="6"/>
      <c r="L11" s="6"/>
      <c r="M11" s="6"/>
      <c r="N11" s="6"/>
      <c r="O11" s="6"/>
      <c r="P11" s="7"/>
    </row>
    <row r="12" spans="1:16">
      <c r="A12" s="9" t="s">
        <v>72</v>
      </c>
      <c r="B12" s="6"/>
      <c r="C12" s="6"/>
      <c r="D12" s="6"/>
      <c r="E12" s="6"/>
      <c r="F12" s="6"/>
      <c r="G12" s="6"/>
      <c r="H12" s="6"/>
      <c r="I12" s="6"/>
      <c r="J12" s="6"/>
      <c r="K12" s="6"/>
      <c r="L12" s="6"/>
      <c r="M12" s="6"/>
      <c r="N12" s="6"/>
      <c r="O12" s="6"/>
      <c r="P12" s="7"/>
    </row>
    <row r="13" spans="1:16">
      <c r="A13" s="9" t="s">
        <v>73</v>
      </c>
      <c r="B13" s="6"/>
      <c r="C13" s="6"/>
      <c r="D13" s="6"/>
      <c r="E13" s="6"/>
      <c r="F13" s="6"/>
      <c r="G13" s="6"/>
      <c r="H13" s="6"/>
      <c r="I13" s="6"/>
      <c r="J13" s="6"/>
      <c r="K13" s="6"/>
      <c r="L13" s="6"/>
      <c r="M13" s="6"/>
      <c r="N13" s="6"/>
      <c r="O13" s="6"/>
      <c r="P13" s="7"/>
    </row>
    <row r="14" spans="1:16">
      <c r="A14" s="9" t="s">
        <v>74</v>
      </c>
      <c r="B14" s="6"/>
      <c r="C14" s="6"/>
      <c r="D14" s="6"/>
      <c r="E14" s="6"/>
      <c r="F14" s="6"/>
      <c r="G14" s="6"/>
      <c r="H14" s="6"/>
      <c r="I14" s="6"/>
      <c r="J14" s="6"/>
      <c r="K14" s="6"/>
      <c r="L14" s="6"/>
      <c r="M14" s="6"/>
      <c r="N14" s="6"/>
      <c r="O14" s="6"/>
      <c r="P14" s="7"/>
    </row>
    <row r="15" spans="1:16">
      <c r="A15" s="10"/>
      <c r="B15" s="6"/>
      <c r="C15" s="6"/>
      <c r="D15" s="6"/>
      <c r="E15" s="6"/>
      <c r="F15" s="6"/>
      <c r="G15" s="6"/>
      <c r="H15" s="6"/>
      <c r="I15" s="6"/>
      <c r="J15" s="6"/>
      <c r="K15" s="6"/>
      <c r="L15" s="6"/>
      <c r="M15" s="6"/>
      <c r="N15" s="6"/>
      <c r="O15" s="6"/>
      <c r="P15" s="7"/>
    </row>
    <row r="16" spans="1:16">
      <c r="A16" s="8" t="s">
        <v>75</v>
      </c>
      <c r="B16" s="6"/>
      <c r="C16" s="6"/>
      <c r="D16" s="6"/>
      <c r="E16" s="6"/>
      <c r="F16" s="6"/>
      <c r="G16" s="6"/>
      <c r="H16" s="6"/>
      <c r="I16" s="6"/>
      <c r="J16" s="6"/>
      <c r="K16" s="6"/>
      <c r="L16" s="6"/>
      <c r="M16" s="6"/>
      <c r="N16" s="6"/>
      <c r="O16" s="6"/>
      <c r="P16" s="7"/>
    </row>
    <row r="17" spans="1:16">
      <c r="A17" s="9" t="s">
        <v>76</v>
      </c>
      <c r="B17" s="6"/>
      <c r="C17" s="6"/>
      <c r="D17" s="6"/>
      <c r="E17" s="6"/>
      <c r="F17" s="6"/>
      <c r="G17" s="6"/>
      <c r="H17" s="6"/>
      <c r="I17" s="6"/>
      <c r="J17" s="6"/>
      <c r="K17" s="6"/>
      <c r="L17" s="6"/>
      <c r="M17" s="6"/>
      <c r="N17" s="6"/>
      <c r="O17" s="6"/>
      <c r="P17" s="7"/>
    </row>
    <row r="18" spans="1:16">
      <c r="A18" s="9" t="s">
        <v>77</v>
      </c>
      <c r="B18" s="6"/>
      <c r="C18" s="6"/>
      <c r="D18" s="6"/>
      <c r="E18" s="6"/>
      <c r="F18" s="6"/>
      <c r="G18" s="6"/>
      <c r="H18" s="6"/>
      <c r="I18" s="6"/>
      <c r="J18" s="6"/>
      <c r="K18" s="6"/>
      <c r="L18" s="6"/>
      <c r="M18" s="6"/>
      <c r="N18" s="6"/>
      <c r="O18" s="6"/>
      <c r="P18" s="7"/>
    </row>
    <row r="19" spans="1:16">
      <c r="A19" s="9" t="s">
        <v>78</v>
      </c>
      <c r="B19" s="6"/>
      <c r="C19" s="6"/>
      <c r="D19" s="6"/>
      <c r="E19" s="6"/>
      <c r="F19" s="6"/>
      <c r="G19" s="6"/>
      <c r="H19" s="6"/>
      <c r="I19" s="6"/>
      <c r="J19" s="6"/>
      <c r="K19" s="6"/>
      <c r="L19" s="6"/>
      <c r="M19" s="6"/>
      <c r="N19" s="6"/>
      <c r="O19" s="6"/>
      <c r="P19" s="7"/>
    </row>
    <row r="20" spans="1:16">
      <c r="A20" s="10"/>
      <c r="B20" s="6"/>
      <c r="C20" s="6"/>
      <c r="D20" s="6"/>
      <c r="E20" s="6"/>
      <c r="F20" s="6"/>
      <c r="G20" s="6"/>
      <c r="H20" s="6"/>
      <c r="I20" s="6"/>
      <c r="J20" s="6"/>
      <c r="K20" s="6"/>
      <c r="L20" s="6"/>
      <c r="M20" s="6"/>
      <c r="N20" s="6"/>
      <c r="O20" s="6"/>
      <c r="P20" s="7"/>
    </row>
    <row r="21" spans="1:16">
      <c r="A21" s="8" t="s">
        <v>79</v>
      </c>
      <c r="B21" s="6"/>
      <c r="C21" s="6"/>
      <c r="D21" s="6"/>
      <c r="E21" s="6"/>
      <c r="F21" s="6"/>
      <c r="G21" s="6"/>
      <c r="H21" s="6"/>
      <c r="I21" s="6"/>
      <c r="J21" s="6"/>
      <c r="K21" s="6"/>
      <c r="L21" s="6"/>
      <c r="M21" s="6"/>
      <c r="N21" s="6"/>
      <c r="O21" s="6"/>
      <c r="P21" s="7"/>
    </row>
    <row r="22" spans="1:16">
      <c r="A22" s="9" t="s">
        <v>80</v>
      </c>
      <c r="B22" s="6"/>
      <c r="C22" s="6"/>
      <c r="D22" s="6"/>
      <c r="E22" s="6"/>
      <c r="F22" s="6"/>
      <c r="G22" s="6"/>
      <c r="H22" s="6"/>
      <c r="I22" s="6"/>
      <c r="J22" s="6"/>
      <c r="K22" s="6"/>
      <c r="L22" s="6"/>
      <c r="M22" s="6"/>
      <c r="N22" s="6"/>
      <c r="O22" s="6"/>
      <c r="P22" s="7"/>
    </row>
    <row r="23" spans="1:16">
      <c r="A23" s="9" t="s">
        <v>81</v>
      </c>
      <c r="B23" s="6"/>
      <c r="C23" s="6"/>
      <c r="D23" s="6"/>
      <c r="E23" s="6"/>
      <c r="F23" s="6"/>
      <c r="G23" s="6"/>
      <c r="H23" s="6"/>
      <c r="I23" s="6"/>
      <c r="J23" s="6"/>
      <c r="K23" s="6"/>
      <c r="L23" s="6"/>
      <c r="M23" s="6"/>
      <c r="N23" s="6"/>
      <c r="O23" s="6"/>
      <c r="P23" s="7"/>
    </row>
    <row r="24" spans="1:16">
      <c r="A24" s="9" t="s">
        <v>82</v>
      </c>
      <c r="B24" s="6"/>
      <c r="C24" s="6"/>
      <c r="D24" s="6"/>
      <c r="E24" s="6"/>
      <c r="F24" s="6"/>
      <c r="G24" s="6"/>
      <c r="H24" s="6"/>
      <c r="I24" s="6"/>
      <c r="J24" s="6"/>
      <c r="K24" s="6"/>
      <c r="L24" s="6"/>
      <c r="M24" s="6"/>
      <c r="N24" s="6"/>
      <c r="O24" s="6"/>
      <c r="P24" s="7"/>
    </row>
    <row r="25" spans="1:16">
      <c r="A25" s="10"/>
      <c r="B25" s="6"/>
      <c r="C25" s="6"/>
      <c r="D25" s="6"/>
      <c r="E25" s="6"/>
      <c r="F25" s="6"/>
      <c r="G25" s="6"/>
      <c r="H25" s="6"/>
      <c r="I25" s="6"/>
      <c r="J25" s="6"/>
      <c r="K25" s="6"/>
      <c r="L25" s="6"/>
      <c r="M25" s="6"/>
      <c r="N25" s="6"/>
      <c r="O25" s="6"/>
      <c r="P25" s="7"/>
    </row>
    <row r="26" spans="1:16">
      <c r="A26" s="8" t="s">
        <v>83</v>
      </c>
      <c r="B26" s="6"/>
      <c r="C26" s="6"/>
      <c r="D26" s="6"/>
      <c r="E26" s="6"/>
      <c r="F26" s="6"/>
      <c r="G26" s="6"/>
      <c r="H26" s="6"/>
      <c r="I26" s="6"/>
      <c r="J26" s="6"/>
      <c r="K26" s="6"/>
      <c r="L26" s="6"/>
      <c r="M26" s="6"/>
      <c r="N26" s="6"/>
      <c r="O26" s="6"/>
      <c r="P26" s="7"/>
    </row>
    <row r="27" spans="1:16">
      <c r="A27" s="9" t="s">
        <v>84</v>
      </c>
      <c r="B27" s="6"/>
      <c r="C27" s="6"/>
      <c r="D27" s="6"/>
      <c r="E27" s="6"/>
      <c r="F27" s="6"/>
      <c r="G27" s="6"/>
      <c r="H27" s="6"/>
      <c r="I27" s="6"/>
      <c r="J27" s="6"/>
      <c r="K27" s="6"/>
      <c r="L27" s="6"/>
      <c r="M27" s="6"/>
      <c r="N27" s="6"/>
      <c r="O27" s="6"/>
      <c r="P27" s="7"/>
    </row>
    <row r="28" spans="1:16">
      <c r="A28" s="9" t="s">
        <v>85</v>
      </c>
      <c r="B28" s="6"/>
      <c r="C28" s="6"/>
      <c r="D28" s="6"/>
      <c r="E28" s="6"/>
      <c r="F28" s="6"/>
      <c r="G28" s="6"/>
      <c r="H28" s="6"/>
      <c r="I28" s="6"/>
      <c r="J28" s="6"/>
      <c r="K28" s="6"/>
      <c r="L28" s="6"/>
      <c r="M28" s="6"/>
      <c r="N28" s="6"/>
      <c r="O28" s="6"/>
      <c r="P28" s="7"/>
    </row>
    <row r="29" spans="1:16">
      <c r="A29" s="10"/>
      <c r="B29" s="6"/>
      <c r="C29" s="6"/>
      <c r="D29" s="6"/>
      <c r="E29" s="6"/>
      <c r="F29" s="6"/>
      <c r="G29" s="6"/>
      <c r="H29" s="6"/>
      <c r="I29" s="6"/>
      <c r="J29" s="6"/>
      <c r="K29" s="6"/>
      <c r="L29" s="6"/>
      <c r="M29" s="6"/>
      <c r="N29" s="6"/>
      <c r="O29" s="6"/>
      <c r="P29" s="7"/>
    </row>
    <row r="30" spans="1:16">
      <c r="A30" s="8" t="s">
        <v>86</v>
      </c>
      <c r="B30" s="6"/>
      <c r="C30" s="6"/>
      <c r="D30" s="6"/>
      <c r="E30" s="6"/>
      <c r="F30" s="6"/>
      <c r="G30" s="6"/>
      <c r="H30" s="6"/>
      <c r="I30" s="6"/>
      <c r="J30" s="6"/>
      <c r="K30" s="6"/>
      <c r="L30" s="6"/>
      <c r="M30" s="6"/>
      <c r="N30" s="6"/>
      <c r="O30" s="6"/>
      <c r="P30" s="7"/>
    </row>
    <row r="31" spans="1:16">
      <c r="A31" s="9" t="s">
        <v>87</v>
      </c>
      <c r="B31" s="6"/>
      <c r="C31" s="6"/>
      <c r="D31" s="6"/>
      <c r="E31" s="6"/>
      <c r="F31" s="6"/>
      <c r="G31" s="6"/>
      <c r="H31" s="6"/>
      <c r="I31" s="6"/>
      <c r="J31" s="6"/>
      <c r="K31" s="6"/>
      <c r="L31" s="6"/>
      <c r="M31" s="6"/>
      <c r="N31" s="6"/>
      <c r="O31" s="6"/>
      <c r="P31" s="7"/>
    </row>
    <row r="32" spans="1:16">
      <c r="A32" s="9" t="s">
        <v>88</v>
      </c>
      <c r="B32" s="6"/>
      <c r="C32" s="6"/>
      <c r="D32" s="6"/>
      <c r="E32" s="6"/>
      <c r="F32" s="6"/>
      <c r="G32" s="6"/>
      <c r="H32" s="6"/>
      <c r="I32" s="6"/>
      <c r="J32" s="6"/>
      <c r="K32" s="6"/>
      <c r="L32" s="6"/>
      <c r="M32" s="6"/>
      <c r="N32" s="6"/>
      <c r="O32" s="6"/>
      <c r="P32" s="7"/>
    </row>
    <row r="33" spans="1:16">
      <c r="A33" s="9" t="s">
        <v>89</v>
      </c>
      <c r="B33" s="6"/>
      <c r="C33" s="6"/>
      <c r="D33" s="6"/>
      <c r="E33" s="6"/>
      <c r="F33" s="6"/>
      <c r="G33" s="6"/>
      <c r="H33" s="6"/>
      <c r="I33" s="6"/>
      <c r="J33" s="6"/>
      <c r="K33" s="6"/>
      <c r="L33" s="6"/>
      <c r="M33" s="6"/>
      <c r="N33" s="6"/>
      <c r="O33" s="6"/>
      <c r="P33" s="7"/>
    </row>
    <row r="34" spans="1:16">
      <c r="A34" s="10"/>
      <c r="B34" s="6"/>
      <c r="C34" s="6"/>
      <c r="D34" s="6"/>
      <c r="E34" s="6"/>
      <c r="F34" s="6"/>
      <c r="G34" s="6"/>
      <c r="H34" s="6"/>
      <c r="I34" s="6"/>
      <c r="J34" s="6"/>
      <c r="K34" s="6"/>
      <c r="L34" s="6"/>
      <c r="M34" s="6"/>
      <c r="N34" s="6"/>
      <c r="O34" s="6"/>
      <c r="P34" s="7"/>
    </row>
    <row r="35" spans="1:16">
      <c r="A35" s="9" t="s">
        <v>90</v>
      </c>
      <c r="B35" s="6"/>
      <c r="C35" s="6"/>
      <c r="D35" s="6"/>
      <c r="E35" s="6"/>
      <c r="F35" s="6"/>
      <c r="G35" s="6"/>
      <c r="H35" s="6"/>
      <c r="I35" s="6"/>
      <c r="J35" s="6"/>
      <c r="K35" s="6"/>
      <c r="L35" s="6"/>
      <c r="M35" s="6"/>
      <c r="N35" s="6"/>
      <c r="O35" s="6"/>
      <c r="P35" s="7"/>
    </row>
    <row r="36" spans="1:16" ht="23">
      <c r="A36" s="9" t="s">
        <v>91</v>
      </c>
      <c r="B36" s="6"/>
      <c r="C36" s="6"/>
      <c r="D36" s="6"/>
      <c r="E36" s="6"/>
      <c r="F36" s="6"/>
      <c r="G36" s="6"/>
      <c r="H36" s="6"/>
      <c r="I36" s="6"/>
      <c r="J36" s="6"/>
      <c r="K36" s="6"/>
      <c r="L36" s="6"/>
      <c r="M36" s="6"/>
      <c r="N36" s="6"/>
      <c r="O36" s="6"/>
      <c r="P36" s="7"/>
    </row>
    <row r="37" spans="1:16">
      <c r="A37" s="10"/>
      <c r="B37" s="6"/>
      <c r="C37" s="6"/>
      <c r="D37" s="6"/>
      <c r="E37" s="6"/>
      <c r="F37" s="6"/>
      <c r="G37" s="6"/>
      <c r="H37" s="6"/>
      <c r="I37" s="6"/>
      <c r="J37" s="6"/>
      <c r="K37" s="6"/>
      <c r="L37" s="6"/>
      <c r="M37" s="6"/>
      <c r="N37" s="6"/>
      <c r="O37" s="6"/>
      <c r="P37" s="7"/>
    </row>
    <row r="38" spans="1:16">
      <c r="A38" s="9" t="s">
        <v>92</v>
      </c>
      <c r="B38" s="6"/>
      <c r="C38" s="6"/>
      <c r="D38" s="6"/>
      <c r="E38" s="6"/>
      <c r="F38" s="6"/>
      <c r="G38" s="6"/>
      <c r="H38" s="6"/>
      <c r="I38" s="6"/>
      <c r="J38" s="6"/>
      <c r="K38" s="6"/>
      <c r="L38" s="6"/>
      <c r="M38" s="6"/>
      <c r="N38" s="6"/>
      <c r="O38" s="6"/>
      <c r="P38" s="7"/>
    </row>
    <row r="39" spans="1:16">
      <c r="A39" s="9" t="s">
        <v>93</v>
      </c>
      <c r="B39" s="6"/>
      <c r="C39" s="6"/>
      <c r="D39" s="6"/>
      <c r="E39" s="6"/>
      <c r="F39" s="6"/>
      <c r="G39" s="6"/>
      <c r="H39" s="6"/>
      <c r="I39" s="6"/>
      <c r="J39" s="6"/>
      <c r="K39" s="6"/>
      <c r="L39" s="6"/>
      <c r="M39" s="6"/>
      <c r="N39" s="6"/>
      <c r="O39" s="6"/>
      <c r="P39" s="7"/>
    </row>
    <row r="40" spans="1:16">
      <c r="A40" s="9" t="s">
        <v>94</v>
      </c>
      <c r="B40" s="6"/>
      <c r="C40" s="6"/>
      <c r="D40" s="6"/>
      <c r="E40" s="6"/>
      <c r="F40" s="6"/>
      <c r="G40" s="6"/>
      <c r="H40" s="6"/>
      <c r="I40" s="6"/>
      <c r="J40" s="6"/>
      <c r="K40" s="6"/>
      <c r="L40" s="6"/>
      <c r="M40" s="6"/>
      <c r="N40" s="6"/>
      <c r="O40" s="6"/>
      <c r="P40" s="7"/>
    </row>
    <row r="41" spans="1:16">
      <c r="A41" s="9" t="s">
        <v>95</v>
      </c>
      <c r="B41" s="6"/>
      <c r="C41" s="6"/>
      <c r="D41" s="6"/>
      <c r="E41" s="6"/>
      <c r="F41" s="6"/>
      <c r="G41" s="6"/>
      <c r="H41" s="6"/>
      <c r="I41" s="6"/>
      <c r="J41" s="6"/>
      <c r="K41" s="6"/>
      <c r="L41" s="6"/>
      <c r="M41" s="6"/>
      <c r="N41" s="6"/>
      <c r="O41" s="6"/>
      <c r="P41" s="7"/>
    </row>
  </sheetData>
  <pageMargins left="0.7" right="0.7" top="0.75" bottom="0.75" header="0.3" footer="0.3"/>
</worksheet>
</file>

<file path=docMetadata/LabelInfo.xml><?xml version="1.0" encoding="utf-8"?>
<clbl:labelList xmlns:clbl="http://schemas.microsoft.com/office/2020/mipLabelMetadata">
  <clbl:label id="{e51cdec9-811d-471d-bbe6-dd3d8d54c28b}" enabled="0" method="" siteId="{e51cdec9-811d-471d-bbe6-dd3d8d54c28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vt:lpstr>
      <vt:lpstr>Dashboard</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Mallory Sornig</cp:lastModifiedBy>
  <cp:revision/>
  <dcterms:created xsi:type="dcterms:W3CDTF">2026-10-07T13:59:22Z</dcterms:created>
  <dcterms:modified xsi:type="dcterms:W3CDTF">2026-10-08T12:48:12Z</dcterms:modified>
  <cp:category/>
  <cp:contentStatus/>
</cp:coreProperties>
</file>